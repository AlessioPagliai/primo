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manoide" sheetId="1" state="visible" r:id="rId1"/>
  </sheets>
  <definedNames>
    <definedName name="_xlnm._FilterDatabase" localSheetId="0" hidden="1">'umanoide'!$A$1:$T$207</definedName>
  </definedNames>
  <calcPr calcId="124519" calcMode="auto" fullCalcOnLoad="1" forceFullCalc="1"/>
</workbook>
</file>

<file path=xl/styles.xml><?xml version="1.0" encoding="utf-8"?>
<styleSheet xmlns="http://schemas.openxmlformats.org/spreadsheetml/2006/main">
  <numFmts count="2">
    <numFmt numFmtId="164" formatCode="€ #,##0.00"/>
    <numFmt numFmtId="165" formatCode="0.000"/>
  </numFmts>
  <fonts count="8">
    <font>
      <name val="Calibri"/>
      <family val="2"/>
      <color theme="1"/>
      <sz val="11"/>
      <scheme val="minor"/>
    </font>
    <font>
      <name val="Arial"/>
      <b val="1"/>
      <color rgb="001F2A44"/>
    </font>
    <font>
      <name val="Arial"/>
      <color rgb="00A6A6A6"/>
      <sz val="10"/>
    </font>
    <font>
      <name val="Arial"/>
      <color rgb="00000000"/>
      <sz val="10"/>
    </font>
    <font>
      <name val="Arial"/>
      <color rgb="000563C1"/>
      <sz val="9"/>
      <u val="single"/>
    </font>
    <font>
      <name val="Arial"/>
      <b val="1"/>
    </font>
    <font>
      <name val="Arial"/>
      <i val="1"/>
      <color rgb="00666666"/>
    </font>
    <font>
      <name val="Arial"/>
      <b val="1"/>
      <color rgb="00FFFFFF"/>
    </font>
  </fonts>
  <fills count="4">
    <fill>
      <patternFill/>
    </fill>
    <fill>
      <patternFill patternType="gray125"/>
    </fill>
    <fill>
      <patternFill patternType="solid">
        <fgColor rgb="008EA9DB"/>
      </patternFill>
    </fill>
    <fill>
      <patternFill patternType="solid">
        <fgColor rgb="002F549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8">
    <xf numFmtId="0" fontId="0" fillId="0" borderId="0" pivotButton="0" quotePrefix="0" xfId="0"/>
    <xf numFmtId="0" fontId="7" fillId="3" borderId="1" applyAlignment="1" pivotButton="0" quotePrefix="0" xfId="0">
      <alignment horizontal="center" vertical="center" wrapText="1"/>
    </xf>
    <xf numFmtId="0" fontId="1" fillId="2" borderId="0" applyAlignment="1" pivotButton="0" quotePrefix="0" xfId="0">
      <alignment horizontal="left" vertical="center"/>
    </xf>
    <xf numFmtId="0" fontId="2" fillId="0" borderId="1" applyAlignment="1" pivotButton="0" quotePrefix="0" xfId="0">
      <alignment vertical="top" wrapText="1"/>
    </xf>
    <xf numFmtId="0" fontId="2" fillId="0" borderId="1" applyAlignment="1" pivotButton="0" quotePrefix="0" xfId="0">
      <alignment vertical="top"/>
    </xf>
    <xf numFmtId="164" fontId="2" fillId="0" borderId="1" applyAlignment="1" pivotButton="0" quotePrefix="0" xfId="0">
      <alignment vertical="top"/>
    </xf>
    <xf numFmtId="9" fontId="2"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4" fontId="3" fillId="0" borderId="1" applyAlignment="1" pivotButton="0" quotePrefix="0" xfId="0">
      <alignment vertical="top"/>
    </xf>
    <xf numFmtId="9" fontId="3" fillId="0" borderId="1" applyAlignment="1" pivotButton="0" quotePrefix="0" xfId="0">
      <alignment vertical="top"/>
    </xf>
    <xf numFmtId="0" fontId="4" fillId="0" borderId="1" applyAlignment="1" pivotButton="0" quotePrefix="0" xfId="0">
      <alignment vertical="top"/>
    </xf>
    <xf numFmtId="165" fontId="3" fillId="0" borderId="1" applyAlignment="1" pivotButton="0" quotePrefix="0" xfId="0">
      <alignment vertical="top"/>
    </xf>
    <xf numFmtId="165" fontId="2" fillId="0" borderId="1" applyAlignment="1" pivotButton="0" quotePrefix="0" xfId="0">
      <alignment vertical="top"/>
    </xf>
    <xf numFmtId="0" fontId="5" fillId="0" borderId="0" pivotButton="0" quotePrefix="0" xfId="0"/>
    <xf numFmtId="164" fontId="5" fillId="0" borderId="0" pivotButton="0" quotePrefix="0" xfId="0"/>
    <xf numFmtId="165" fontId="5" fillId="0" borderId="0" pivotButton="0" quotePrefix="0" xfId="0"/>
    <xf numFmtId="0" fontId="6" fillId="0" borderId="0" pivotButton="0" quotePrefix="0" xfId="0"/>
  </cellXfs>
  <cellStyles count="1">
    <cellStyle name="Normal" xfId="0" builtinId="0" hidden="0"/>
  </cellStyles>
  <dxfs count="1">
    <dxf>
      <font>
        <name val="Arial"/>
        <i val="1"/>
        <color rgb="00AAAAAA"/>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unitreerobotics/unitree_ros/blob/master/robots/g1_description/g1_29dof_mode_11.urdf" TargetMode="External" Id="rId1"/><Relationship Type="http://schemas.openxmlformats.org/officeDocument/2006/relationships/hyperlink" Target="https://cuscinettiecomponenti.it/prodotto/pcm-121420-e-boccole-di-usura-12x14x20-skf/" TargetMode="External" Id="rId2"/><Relationship Type="http://schemas.openxmlformats.org/officeDocument/2006/relationships/hyperlink" Target="https://cuscinettiecomponenti.it/prodotto/pcm-121425-e-boccole-di-usura-12x14x25-skf/" TargetMode="External" Id="rId3"/><Relationship Type="http://schemas.openxmlformats.org/officeDocument/2006/relationships/hyperlink" Target="https://www.ebmia.pl/tuleje-slizgowe-iglidur-q2/199876-tuleja-slizgowa-q2sm-1214-20.html" TargetMode="External" Id="rId4"/><Relationship Type="http://schemas.openxmlformats.org/officeDocument/2006/relationships/hyperlink" Target="https://www.igus.co.uk/iglidur-ibh/flanged-bearings/product-details/iglidur-q2-m?artnr=Q2FM-1214-12" TargetMode="External" Id="rId5"/><Relationship Type="http://schemas.openxmlformats.org/officeDocument/2006/relationships/hyperlink" Target="https://www.conrad.com/en/p/igus-gtm-1224-015-shim-ring-bore-diameter-12-mm-1416586.html" TargetMode="External" Id="rId6"/><Relationship Type="http://schemas.openxmlformats.org/officeDocument/2006/relationships/hyperlink" Target="https://cuscinettiecomponenti.it/prodotto/hk-1216-2rs-cuscinetti-a-rullini-12x18x16-skf/" TargetMode="External" Id="rId7"/><Relationship Type="http://schemas.openxmlformats.org/officeDocument/2006/relationships/hyperlink" Target="https://www.klium.nl/en/skf-nki-12-16-needle-roller-bearing-with-inner-ring-12x24x16-mm-41676" TargetMode="External" Id="rId8"/><Relationship Type="http://schemas.openxmlformats.org/officeDocument/2006/relationships/hyperlink" Target="https://it.rs-online.com/web/p/cuscinetti-a-rulli/0514243" TargetMode="External" Id="rId9"/><Relationship Type="http://schemas.openxmlformats.org/officeDocument/2006/relationships/hyperlink" Target="https://cuscinettiecomponenti.it/prodotto/as-1226-cuscinetti-a-rullini-12x26x1-skf/" TargetMode="External" Id="rId10"/><Relationship Type="http://schemas.openxmlformats.org/officeDocument/2006/relationships/hyperlink" Target="https://www.cuscinetti.net/e-catalogue/181768-rondella-di-spessoramento-ps-12x18x1-din-988-hgi.html" TargetMode="External" Id="rId11"/><Relationship Type="http://schemas.openxmlformats.org/officeDocument/2006/relationships/hyperlink" Target="https://www.elesa.com/siteassets/PDF/PDF_IT/DIN%20172.pdf" TargetMode="External" Id="rId12"/><Relationship Type="http://schemas.openxmlformats.org/officeDocument/2006/relationships/hyperlink" Target="https://www.verzolla.com/elesa-bussola-di-guida-flangiata-din172-b12-20-a-y1137" TargetMode="External" Id="rId13"/><Relationship Type="http://schemas.openxmlformats.org/officeDocument/2006/relationships/hyperlink" Target="https://www.best4automation.com/positionierbuchse-mit-bund-bohrung-eins.-gerundet-sc-4042-172-b12-20-a/" TargetMode="External" Id="rId14"/><Relationship Type="http://schemas.openxmlformats.org/officeDocument/2006/relationships/hyperlink" Target="https://www.normteile-leinigen.de/Bundbohrbuchse-12-x-20-DIN-172-Form-A/K1022.A1200X20" TargetMode="External" Id="rId15"/><Relationship Type="http://schemas.openxmlformats.org/officeDocument/2006/relationships/hyperlink" Target="https://www.tme.eu/en/details/din172-b12-20-a/indexing-plungers/elesa-ganter/din-172-b12-20-a/" TargetMode="External" Id="rId16"/><Relationship Type="http://schemas.openxmlformats.org/officeDocument/2006/relationships/hyperlink" Target="https://www.igus.eu/product/iglidur_I150_PF" TargetMode="External" Id="rId17"/><Relationship Type="http://schemas.openxmlformats.org/officeDocument/2006/relationships/hyperlink" Target="https://www.igus.eu/product/iglidur_I190_PF" TargetMode="External" Id="rId18"/><Relationship Type="http://schemas.openxmlformats.org/officeDocument/2006/relationships/hyperlink" Target="https://www.igus.eu/product/716" TargetMode="External" Id="rId19"/><Relationship Type="http://schemas.openxmlformats.org/officeDocument/2006/relationships/hyperlink" Target="https://www.igus.eu/iglide-ibh/flanged-bearings/product-details/iglidur-g-m" TargetMode="External" Id="rId20"/><Relationship Type="http://schemas.openxmlformats.org/officeDocument/2006/relationships/hyperlink" Target="https://it.aliexpress.com/item/1005007481484485.html" TargetMode="External" Id="rId21"/><Relationship Type="http://schemas.openxmlformats.org/officeDocument/2006/relationships/hyperlink" Target="https://it.rs-online.com/web/p/viti-a-colletto/8229316" TargetMode="External" Id="rId22"/><Relationship Type="http://schemas.openxmlformats.org/officeDocument/2006/relationships/hyperlink" Target="https://it.rs-online.com/web/p/viti-a-colletto/0292417" TargetMode="External" Id="rId23"/><Relationship Type="http://schemas.openxmlformats.org/officeDocument/2006/relationships/hyperlink" Target="https://www.motedis.it/it/Albero-di-precisione-12-mm-h6-acciaio-temprato-e-rettificato" TargetMode="External" Id="rId24"/><Relationship Type="http://schemas.openxmlformats.org/officeDocument/2006/relationships/hyperlink" Target="https://eshop.wurth.fr/Goupille-cylindrique-DIN-6325-acier-brut-GOUPILLE-CYL-DIN6325-M6-12X20/025201220.sku/fr/FR/EUR/" TargetMode="External" Id="rId25"/><Relationship Type="http://schemas.openxmlformats.org/officeDocument/2006/relationships/hyperlink" Target="https://www.amazon.it/ANELLI-ELASTICI-INTERNI-ESTERNI-ASSORTITI/dp/B09CZKWD5J" TargetMode="External" Id="rId26"/><Relationship Type="http://schemas.openxmlformats.org/officeDocument/2006/relationships/hyperlink" Target="https://www.amazon.it/Acciaio-Controdado-Esagonale-Inserto-Autobloccante/dp/B0C8ZCR6B1" TargetMode="External" Id="rId27"/><Relationship Type="http://schemas.openxmlformats.org/officeDocument/2006/relationships/hyperlink" Target="https://www.amazon.it/Acciaio-Controdado-Esagonale-Inserto-Autobloccante/dp/B0C8ZCR6B1" TargetMode="External" Id="rId28"/><Relationship Type="http://schemas.openxmlformats.org/officeDocument/2006/relationships/hyperlink" Target="https://it.rs-online.com/web/p/rondelle/7976254" TargetMode="External" Id="rId29"/><Relationship Type="http://schemas.openxmlformats.org/officeDocument/2006/relationships/hyperlink" Target="https://www.ruland.com/msp-12-f.html" TargetMode="External" Id="rId30"/><Relationship Type="http://schemas.openxmlformats.org/officeDocument/2006/relationships/hyperlink" Target="https://it.aliexpress.com/item/1005008935554718.html" TargetMode="External" Id="rId31"/><Relationship Type="http://schemas.openxmlformats.org/officeDocument/2006/relationships/hyperlink" Target="https://it.aliexpress.com/item/1005008935554718.html" TargetMode="External" Id="rId32"/><Relationship Type="http://schemas.openxmlformats.org/officeDocument/2006/relationships/hyperlink" Target="https://www.acorn-ind.co.uk/p/skf/rod-ends-with-male-thread/sa8e-skf/" TargetMode="External" Id="rId33"/><Relationship Type="http://schemas.openxmlformats.org/officeDocument/2006/relationships/hyperlink" Target="https://www.acorn-ind.co.uk/p/skf/rod-ends-with-male-thread/sal8e-skf/" TargetMode="External" Id="rId34"/><Relationship Type="http://schemas.openxmlformats.org/officeDocument/2006/relationships/hyperlink" Target="https://www.mbo-osswald.de/en/configurators/joint-rod-configurator" TargetMode="External" Id="rId35"/><Relationship Type="http://schemas.openxmlformats.org/officeDocument/2006/relationships/hyperlink" Target="https://www.igus.com/product?artNr=KARM-08-CL" TargetMode="External" Id="rId36"/><Relationship Type="http://schemas.openxmlformats.org/officeDocument/2006/relationships/hyperlink" Target="https://shop.eriks.de/de/waelzlager-gelenklager-und-gelenkkoepfe-gelenkkoepfe/gelenkkopf-wartungsfrei-igumid-g-iglidur-j-aussengewinde-links-serie-kalm-cl-j-pr2079035551789/" TargetMode="External" Id="rId37"/><Relationship Type="http://schemas.openxmlformats.org/officeDocument/2006/relationships/hyperlink" Target="https://www.accu.co.uk/thin-hexagon-nuts/73062-HFN-M8-A2" TargetMode="External" Id="rId38"/><Relationship Type="http://schemas.openxmlformats.org/officeDocument/2006/relationships/hyperlink" Target="https://accu-components.com/us/left-hand-thread-hex-jam-nuts/73142-HFNL-M8-A2" TargetMode="External" Id="rId39"/><Relationship Type="http://schemas.openxmlformats.org/officeDocument/2006/relationships/hyperlink" Target="https://www.competitionsupplies.com/rod-ends-spherical-bearings/rod-end-bearing-accessories/high-misalignment-spacers-metric/high-misalignment-spacer-m8-to-m6-pair" TargetMode="External" Id="rId40"/><Relationship Type="http://schemas.openxmlformats.org/officeDocument/2006/relationships/hyperlink" Target="https://it.aliexpress.com/item/1005007885495357.html" TargetMode="External" Id="rId41"/><Relationship Type="http://schemas.openxmlformats.org/officeDocument/2006/relationships/hyperlink" Target="https://it.aliexpress.com/item/1005007885495357.html" TargetMode="External" Id="rId42"/><Relationship Type="http://schemas.openxmlformats.org/officeDocument/2006/relationships/hyperlink" Target="https://www.motedis.it/it/Albero-di-precisione-8-mm-h6-acciaio-temprato-e-rettificato" TargetMode="External" Id="rId43"/><Relationship Type="http://schemas.openxmlformats.org/officeDocument/2006/relationships/hyperlink" Target="https://www.ruland.com/msp-8-f.html" TargetMode="External" Id="rId44"/><Relationship Type="http://schemas.openxmlformats.org/officeDocument/2006/relationships/hyperlink" Target="https://it.aliexpress.com/item/1005007481484485.html" TargetMode="External" Id="rId45"/><Relationship Type="http://schemas.openxmlformats.org/officeDocument/2006/relationships/hyperlink" Target="https://www.123bearing.com/bearing-housing/deep-groove-bearing/single-row/6002-2rs" TargetMode="External" Id="rId46"/><Relationship Type="http://schemas.openxmlformats.org/officeDocument/2006/relationships/hyperlink" Target="https://www.prusa3d.com/product/threaded-inserts-m4-short-50-pcs/" TargetMode="External" Id="rId47"/><Relationship Type="http://schemas.openxmlformats.org/officeDocument/2006/relationships/hyperlink" Target="https://www.amazon.it/SANTOO-Acciaio-Esagonale-Assortimento-Fissaggio/dp/B07RV2SFX6" TargetMode="External" Id="rId48"/><Relationship Type="http://schemas.openxmlformats.org/officeDocument/2006/relationships/hyperlink" Target="https://it.misumi-ec.com/vona2/detail/110302217940/?HissuCode=CB3-10" TargetMode="External" Id="rId49"/><Relationship Type="http://schemas.openxmlformats.org/officeDocument/2006/relationships/hyperlink" Target="https://it.misumi-ec.com/vona2/detail/110302217940/?HissuCode=CB3-15" TargetMode="External" Id="rId50"/><Relationship Type="http://schemas.openxmlformats.org/officeDocument/2006/relationships/hyperlink" Target="https://it.misumi-ec.com/vona2/detail/110302217940/?HissuCode=CB3-20" TargetMode="External" Id="rId51"/><Relationship Type="http://schemas.openxmlformats.org/officeDocument/2006/relationships/hyperlink" Target="https://it.misumi-ec.com/vona2/detail/110302217940/?HissuCode=CB4-10" TargetMode="External" Id="rId52"/><Relationship Type="http://schemas.openxmlformats.org/officeDocument/2006/relationships/hyperlink" Target="https://it.misumi-ec.com/vona2/detail/110302217940/?HissuCode=CB4-15" TargetMode="External" Id="rId53"/><Relationship Type="http://schemas.openxmlformats.org/officeDocument/2006/relationships/hyperlink" Target="https://it.misumi-ec.com/vona2/detail/110302217940/?HissuCode=CB4-20" TargetMode="External" Id="rId54"/><Relationship Type="http://schemas.openxmlformats.org/officeDocument/2006/relationships/hyperlink" Target="https://it.misumi-ec.com/vona2/detail/110302217940/?HissuCode=CB4-25" TargetMode="External" Id="rId55"/><Relationship Type="http://schemas.openxmlformats.org/officeDocument/2006/relationships/hyperlink" Target="https://www.amazon.it/Loctite-243-Frenafiletti-resistenza-azione/dp/B003ZUXQIA" TargetMode="External" Id="rId56"/><Relationship Type="http://schemas.openxmlformats.org/officeDocument/2006/relationships/hyperlink" Target="https://www.seeedstudio.com/Robostride-04-Actuator-p-6775.html" TargetMode="External" Id="rId57"/><Relationship Type="http://schemas.openxmlformats.org/officeDocument/2006/relationships/hyperlink" Target="https://www.seeedstudio.com/Robostride-04-Actuator-p-6775.html" TargetMode="External" Id="rId58"/><Relationship Type="http://schemas.openxmlformats.org/officeDocument/2006/relationships/hyperlink" Target="https://www.seeedstudio.com/Robostride-03-Actuator-p-6774.html" TargetMode="External" Id="rId59"/><Relationship Type="http://schemas.openxmlformats.org/officeDocument/2006/relationships/hyperlink" Target="https://www.seeedstudio.com/Robostride-03-Actuator-p-6774.html" TargetMode="External" Id="rId60"/><Relationship Type="http://schemas.openxmlformats.org/officeDocument/2006/relationships/hyperlink" Target="https://www.seeedstudio.com/Robostride-06-Actuator-p-6668.html" TargetMode="External" Id="rId61"/><Relationship Type="http://schemas.openxmlformats.org/officeDocument/2006/relationships/hyperlink" Target="https://www.seeedstudio.com/Robostride-06-Actuator-p-6668.html" TargetMode="External" Id="rId62"/><Relationship Type="http://schemas.openxmlformats.org/officeDocument/2006/relationships/hyperlink" Target="https://www.seeedstudio.com/Robostride-00-Actuator-p-6664.html" TargetMode="External" Id="rId63"/><Relationship Type="http://schemas.openxmlformats.org/officeDocument/2006/relationships/hyperlink" Target="https://www.seeedstudio.com/Robostride-00-Actuator-p-6664.html" TargetMode="External" Id="rId64"/><Relationship Type="http://schemas.openxmlformats.org/officeDocument/2006/relationships/hyperlink" Target="https://www.seeedstudio.com/Robostride-06-Actuator-p-6668.html" TargetMode="External" Id="rId65"/><Relationship Type="http://schemas.openxmlformats.org/officeDocument/2006/relationships/hyperlink" Target="https://www.seeedstudio.com/Robostride-06-Actuator-p-6668.html" TargetMode="External" Id="rId66"/><Relationship Type="http://schemas.openxmlformats.org/officeDocument/2006/relationships/hyperlink" Target="https://www.seeedstudio.com/Robostride-03-Actuator-p-6774.html" TargetMode="External" Id="rId67"/><Relationship Type="http://schemas.openxmlformats.org/officeDocument/2006/relationships/hyperlink" Target="https://www.seeedstudio.com/Robostride-03-Actuator-p-6774.html" TargetMode="External" Id="rId68"/><Relationship Type="http://schemas.openxmlformats.org/officeDocument/2006/relationships/hyperlink" Target="https://www.seeedstudio.com/Robostride-06-Actuator-p-6668.html" TargetMode="External" Id="rId69"/><Relationship Type="http://schemas.openxmlformats.org/officeDocument/2006/relationships/hyperlink" Target="https://www.seeedstudio.com/Robostride-06-Actuator-p-6668.html" TargetMode="External" Id="rId70"/><Relationship Type="http://schemas.openxmlformats.org/officeDocument/2006/relationships/hyperlink" Target="https://www.seeedstudio.com/Robostride-06-Actuator-p-6668.html" TargetMode="External" Id="rId71"/><Relationship Type="http://schemas.openxmlformats.org/officeDocument/2006/relationships/hyperlink" Target="https://www.seeedstudio.com/Robostride-06-Actuator-p-6668.html" TargetMode="External" Id="rId72"/><Relationship Type="http://schemas.openxmlformats.org/officeDocument/2006/relationships/hyperlink" Target="https://www.seeedstudio.com/Robostride-00-Actuator-p-6664.html" TargetMode="External" Id="rId73"/><Relationship Type="http://schemas.openxmlformats.org/officeDocument/2006/relationships/hyperlink" Target="https://www.seeedstudio.com/Robostride-00-Actuator-p-6664.html" TargetMode="External" Id="rId74"/><Relationship Type="http://schemas.openxmlformats.org/officeDocument/2006/relationships/hyperlink" Target="https://www.seeedstudio.com/Robostride-00-Actuator-p-6664.html" TargetMode="External" Id="rId75"/><Relationship Type="http://schemas.openxmlformats.org/officeDocument/2006/relationships/hyperlink" Target="https://www.seeedstudio.com/Robostride-00-Actuator-p-6664.html" TargetMode="External" Id="rId76"/><Relationship Type="http://schemas.openxmlformats.org/officeDocument/2006/relationships/hyperlink" Target="https://www.seeedstudio.com/Robostride-00-Actuator-p-6664.html" TargetMode="External" Id="rId77"/><Relationship Type="http://schemas.openxmlformats.org/officeDocument/2006/relationships/hyperlink" Target="https://www.seeedstudio.com/Robostride-00-Actuator-p-6664.html" TargetMode="External" Id="rId78"/><Relationship Type="http://schemas.openxmlformats.org/officeDocument/2006/relationships/hyperlink" Target="https://www.seeedstudio.com/Robostride-06-Actuator-p-6668.html" TargetMode="External" Id="rId79"/><Relationship Type="http://schemas.openxmlformats.org/officeDocument/2006/relationships/hyperlink" Target="https://www.seeedstudio.com/Robostride-06-Actuator-p-6668.html" TargetMode="External" Id="rId80"/><Relationship Type="http://schemas.openxmlformats.org/officeDocument/2006/relationships/hyperlink" Target="https://www.seeedstudio.com/Robostride-06-Actuator-p-6668.html" TargetMode="External" Id="rId81"/><Relationship Type="http://schemas.openxmlformats.org/officeDocument/2006/relationships/hyperlink" Target="https://www.seeedstudio.com/Robostride-06-Actuator-p-6668.html" TargetMode="External" Id="rId82"/><Relationship Type="http://schemas.openxmlformats.org/officeDocument/2006/relationships/hyperlink" Target="https://www.seeedstudio.com/Robostride-06-Actuator-p-6668.html" TargetMode="External" Id="rId83"/><Relationship Type="http://schemas.openxmlformats.org/officeDocument/2006/relationships/hyperlink" Target="https://www.seeedstudio.com/Robostride-06-Actuator-p-6668.html" TargetMode="External" Id="rId84"/><Relationship Type="http://schemas.openxmlformats.org/officeDocument/2006/relationships/hyperlink" Target="https://www.seeedstudio.com/Robostride-00-Actuator-p-6664.html" TargetMode="External" Id="rId85"/><Relationship Type="http://schemas.openxmlformats.org/officeDocument/2006/relationships/hyperlink" Target="https://www.seeedstudio.com/Robostride-00-Actuator-p-6664.html" TargetMode="External" Id="rId86"/><Relationship Type="http://schemas.openxmlformats.org/officeDocument/2006/relationships/hyperlink" Target="https://www.seeedstudio.com/Robostride-00-Actuator-p-6664.html" TargetMode="External" Id="rId87"/><Relationship Type="http://schemas.openxmlformats.org/officeDocument/2006/relationships/hyperlink" Target="https://www.seeedstudio.com/Robostride-00-Actuator-p-6664.html" TargetMode="External" Id="rId88"/><Relationship Type="http://schemas.openxmlformats.org/officeDocument/2006/relationships/hyperlink" Target="https://www.seeedstudio.com/Robostride-06-Actuator-p-6668.html" TargetMode="External" Id="rId89"/><Relationship Type="http://schemas.openxmlformats.org/officeDocument/2006/relationships/hyperlink" Target="https://www.seeedstudio.com/Robostride-06-Actuator-p-6668.html" TargetMode="External" Id="rId90"/><Relationship Type="http://schemas.openxmlformats.org/officeDocument/2006/relationships/hyperlink" Target="https://www.seeedstudio.com/Robostride-00-Actuator-p-6664.html" TargetMode="External" Id="rId91"/><Relationship Type="http://schemas.openxmlformats.org/officeDocument/2006/relationships/hyperlink" Target="https://www.seeedstudio.com/Robostride-00-Actuator-p-6664.html" TargetMode="External" Id="rId92"/><Relationship Type="http://schemas.openxmlformats.org/officeDocument/2006/relationships/hyperlink" Target="https://www.seeedstudio.com/Robostride-00-Actuator-p-6664.html" TargetMode="External" Id="rId93"/><Relationship Type="http://schemas.openxmlformats.org/officeDocument/2006/relationships/hyperlink" Target="https://www.seeedstudio.com/Robostride-00-Actuator-p-6664.html" TargetMode="External" Id="rId94"/><Relationship Type="http://schemas.openxmlformats.org/officeDocument/2006/relationships/hyperlink" Target="https://www.seeedstudio.com/Robostride-05-Actuator-p-6666.html" TargetMode="External" Id="rId95"/><Relationship Type="http://schemas.openxmlformats.org/officeDocument/2006/relationships/hyperlink" Target="https://www.seeedstudio.com/Robostride-05-Actuator-p-6666.html" TargetMode="External" Id="rId96"/><Relationship Type="http://schemas.openxmlformats.org/officeDocument/2006/relationships/hyperlink" Target="https://www.seeedstudio.com/Robostride-05-Actuator-p-6666.html" TargetMode="External" Id="rId97"/><Relationship Type="http://schemas.openxmlformats.org/officeDocument/2006/relationships/hyperlink" Target="https://www.seeedstudio.com/Robostride-05-Actuator-p-6666.html" TargetMode="External" Id="rId98"/><Relationship Type="http://schemas.openxmlformats.org/officeDocument/2006/relationships/hyperlink" Target="https://www.reichelt.com/it/it/shop/prodotto/rh56dfx_-_mano_robotica_destreggiata_senza_polso_sinistra-426921" TargetMode="External" Id="rId99"/><Relationship Type="http://schemas.openxmlformats.org/officeDocument/2006/relationships/hyperlink" Target="file:///Users/artes/Documents/artes/umanoide/cad_reference/RH56DFX-2L_reference.stl" TargetMode="External" Id="rId100"/><Relationship Type="http://schemas.openxmlformats.org/officeDocument/2006/relationships/hyperlink" Target="https://www.reichelt.com/it/it/shop/prodotto/rh56dfx_-_mano_robotica_destreggiata_senza_polso_destra-426913" TargetMode="External" Id="rId101"/><Relationship Type="http://schemas.openxmlformats.org/officeDocument/2006/relationships/hyperlink" Target="file:///Users/artes/Documents/artes/umanoide/cad_reference/RH56DFX-2R_reference.stl" TargetMode="External" Id="rId102"/><Relationship Type="http://schemas.openxmlformats.org/officeDocument/2006/relationships/hyperlink" Target="https://www.digikey.com/en/products/detail/mean-well-usa-inc/RSP-3000-48/7706324" TargetMode="External" Id="rId103"/><Relationship Type="http://schemas.openxmlformats.org/officeDocument/2006/relationships/hyperlink" Target="https://www.amazon.it/s?k=cavo+H07RN-F+3G1.5+spina+schuko" TargetMode="External" Id="rId104"/><Relationship Type="http://schemas.openxmlformats.org/officeDocument/2006/relationships/hyperlink" Target="https://it.rs-online.com/web/p/pulsanti-di-arresto-di-emergenza/7951306" TargetMode="External" Id="rId105"/><Relationship Type="http://schemas.openxmlformats.org/officeDocument/2006/relationships/hyperlink" Target="https://www.radwell.de/en-DE/Buy/ALBRIGHT/ALBRIGHT/SW80B-10" TargetMode="External" Id="rId106"/><Relationship Type="http://schemas.openxmlformats.org/officeDocument/2006/relationships/hyperlink" Target="https://www.digikey.it/it/products/detail/te-connectivity-aerospace-defense-and-marine/LEV100A5ANG/2362833" TargetMode="External" Id="rId107"/><Relationship Type="http://schemas.openxmlformats.org/officeDocument/2006/relationships/hyperlink" Target="https://www.digikey.com/en/products/detail/littelfuse-inc/142-5631-5702/2515910" TargetMode="External" Id="rId108"/><Relationship Type="http://schemas.openxmlformats.org/officeDocument/2006/relationships/hyperlink" Target="https://www.mouser.com/ProductDetail/Littelfuse/04980921GXM5?qs=aOs975IaWlkzQw1Up%2FmjHQ%3D%3D" TargetMode="External" Id="rId109"/><Relationship Type="http://schemas.openxmlformats.org/officeDocument/2006/relationships/hyperlink" Target="https://www.mouser.com/ProductDetail/Littelfuse/04980921GXM5?qs=aOs975IaWlkzQw1Up%2FmjHQ%3D%3D" TargetMode="External" Id="rId110"/><Relationship Type="http://schemas.openxmlformats.org/officeDocument/2006/relationships/hyperlink" Target="https://www.mouser.com/ProductDetail/Littelfuse/04980921GXM5?qs=aOs975IaWlkzQw1Up%2FmjHQ%3D%3D" TargetMode="External" Id="rId111"/><Relationship Type="http://schemas.openxmlformats.org/officeDocument/2006/relationships/hyperlink" Target="https://www.digikey.com/en/products/detail/vishay-dale/RHA050100R0FE02/15191925" TargetMode="External" Id="rId112"/><Relationship Type="http://schemas.openxmlformats.org/officeDocument/2006/relationships/hyperlink" Target="https://www.digikey.com/en/products/detail/cit-relay-and-switch/A2K1CSQ24VDC1-6/16687908" TargetMode="External" Id="rId113"/><Relationship Type="http://schemas.openxmlformats.org/officeDocument/2006/relationships/hyperlink" Target="https://www.digikey.it/it/products/detail/te-connectivity-aerospace-defense-and-marine/LEV100A5ANG/2362833" TargetMode="External" Id="rId114"/><Relationship Type="http://schemas.openxmlformats.org/officeDocument/2006/relationships/hyperlink" Target="https://www.se.com/ww/en/product/XB5AA31/" TargetMode="External" Id="rId115"/><Relationship Type="http://schemas.openxmlformats.org/officeDocument/2006/relationships/hyperlink" Target="https://www.digikey.com/en/products/detail/cit-relay-and-switch/A2K1CSQ24VDC1-6/16687908" TargetMode="External" Id="rId116"/><Relationship Type="http://schemas.openxmlformats.org/officeDocument/2006/relationships/hyperlink" Target="https://www.digikey.com/en/products/result?keywords=H3YN-2%20DC24" TargetMode="External" Id="rId117"/><Relationship Type="http://schemas.openxmlformats.org/officeDocument/2006/relationships/hyperlink" Target="https://www.digikey.com/en/products/result?keywords=PYF08A-E" TargetMode="External" Id="rId118"/><Relationship Type="http://schemas.openxmlformats.org/officeDocument/2006/relationships/hyperlink" Target="https://it.rs-online.com/web/p/rele-temporizzati/2827115" TargetMode="External" Id="rId119"/><Relationship Type="http://schemas.openxmlformats.org/officeDocument/2006/relationships/hyperlink" Target="https://it.rs-online.com/web/p/selettori/6096079" TargetMode="External" Id="rId120"/><Relationship Type="http://schemas.openxmlformats.org/officeDocument/2006/relationships/hyperlink" Target="https://www.digikey.com/en/products/detail/littelfuse-inc/1-5KE68CA/3909" TargetMode="External" Id="rId121"/><Relationship Type="http://schemas.openxmlformats.org/officeDocument/2006/relationships/hyperlink" Target="https://www.digikey.com/en/products/result?keywords=1.5KE33CA" TargetMode="External" Id="rId122"/><Relationship Type="http://schemas.openxmlformats.org/officeDocument/2006/relationships/hyperlink" Target="https://eu.odriverobotics.com/shop/odrive-regen-clamp" TargetMode="External" Id="rId123"/><Relationship Type="http://schemas.openxmlformats.org/officeDocument/2006/relationships/hyperlink" Target="https://eu.odriverobotics.com/shop/heat-spreader-plate-for-odrive-s1" TargetMode="External" Id="rId124"/><Relationship Type="http://schemas.openxmlformats.org/officeDocument/2006/relationships/hyperlink" Target="https://www.digikey.com/en/products/detail/ohmite/HS50-2R-J/5307846" TargetMode="External" Id="rId125"/><Relationship Type="http://schemas.openxmlformats.org/officeDocument/2006/relationships/hyperlink" Target="https://aifitlab.com/products/robstride-bleeder-module" TargetMode="External" Id="rId126"/><Relationship Type="http://schemas.openxmlformats.org/officeDocument/2006/relationships/hyperlink" Target="https://www.digikey.com/en/products/detail/eaton-bussmann-electrical-division/16220-2/5449651" TargetMode="External" Id="rId127"/><Relationship Type="http://schemas.openxmlformats.org/officeDocument/2006/relationships/hyperlink" Target="https://www.digikey.com/en/products/detail/kemet/ALS80A123KE100/6872081" TargetMode="External" Id="rId128"/><Relationship Type="http://schemas.openxmlformats.org/officeDocument/2006/relationships/hyperlink" Target="https://www.newark.com/kemet/v4/clamp-capacitor-51mm/dp/09WX5727" TargetMode="External" Id="rId129"/><Relationship Type="http://schemas.openxmlformats.org/officeDocument/2006/relationships/hyperlink" Target="https://www.digikey.com/en/products/detail/eaton-bussmann-electrical-division/16220-2/5449651" TargetMode="External" Id="rId130"/><Relationship Type="http://schemas.openxmlformats.org/officeDocument/2006/relationships/hyperlink" Target="https://www.digikey.com/en/products/detail/littelfuse-inc/142-5631-5702/2515910" TargetMode="External" Id="rId131"/><Relationship Type="http://schemas.openxmlformats.org/officeDocument/2006/relationships/hyperlink" Target="https://www.digikey.com/en/products/detail/littelfuse-inc/142-5631-5402/2515916" TargetMode="External" Id="rId132"/><Relationship Type="http://schemas.openxmlformats.org/officeDocument/2006/relationships/hyperlink" Target="https://www.digikey.com/en/products/detail/littelfuse-inc/142-5631-5302/2515908" TargetMode="External" Id="rId133"/><Relationship Type="http://schemas.openxmlformats.org/officeDocument/2006/relationships/hyperlink" Target="https://www.digikey.com/en/products/detail/littelfuse-inc/142-5631-5302/2515908" TargetMode="External" Id="rId134"/><Relationship Type="http://schemas.openxmlformats.org/officeDocument/2006/relationships/hyperlink" Target="https://www.digikey.com/en/products/detail/littelfuse-commercial-vehicle-products/0FHM0002XP/3427089" TargetMode="External" Id="rId135"/><Relationship Type="http://schemas.openxmlformats.org/officeDocument/2006/relationships/hyperlink" Target="https://www.digikey.com/en/products/detail/littelfuse-inc/0997002-WXN/701054" TargetMode="External" Id="rId136"/><Relationship Type="http://schemas.openxmlformats.org/officeDocument/2006/relationships/hyperlink" Target="https://www.digikey.com/en/products/detail/littelfuse-commercial-vehicle-products/0FHM0002XP/3427089" TargetMode="External" Id="rId137"/><Relationship Type="http://schemas.openxmlformats.org/officeDocument/2006/relationships/hyperlink" Target="https://www.digikey.com/en/products/detail/littelfuse-inc/0997015-WXN/701060" TargetMode="External" Id="rId138"/><Relationship Type="http://schemas.openxmlformats.org/officeDocument/2006/relationships/hyperlink" Target="https://www.digikey.com/en/products/detail/littelfuse-commercial-vehicle-products/0FHM0002XP/3427089" TargetMode="External" Id="rId139"/><Relationship Type="http://schemas.openxmlformats.org/officeDocument/2006/relationships/hyperlink" Target="https://www.digikey.com/en/products/detail/littelfuse-inc/0997010-WXN/701059" TargetMode="External" Id="rId140"/><Relationship Type="http://schemas.openxmlformats.org/officeDocument/2006/relationships/hyperlink" Target="https://www.digikey.com/en/products/detail/littelfuse-inc/0997015-WXN/701060" TargetMode="External" Id="rId141"/><Relationship Type="http://schemas.openxmlformats.org/officeDocument/2006/relationships/hyperlink" Target="https://www.digikey.com/en/products/detail/littelfuse-inc/0997002-WXN/701054" TargetMode="External" Id="rId142"/><Relationship Type="http://schemas.openxmlformats.org/officeDocument/2006/relationships/hyperlink" Target="https://www.bicyclemotorworks.com/product-page/48v-94ah-molicel-p45b-lithium-ion-ebike-battery" TargetMode="External" Id="rId143"/><Relationship Type="http://schemas.openxmlformats.org/officeDocument/2006/relationships/hyperlink" Target="https://www.bicyclemotorworks.com/product-page/48v-94ah-molicel-p45b-lithium-ion-ebike-battery" TargetMode="External" Id="rId144"/><Relationship Type="http://schemas.openxmlformats.org/officeDocument/2006/relationships/hyperlink" Target="https://www.bicyclemotorworks.com/product-page/48v-94ah-molicel-p45b-lithium-ion-ebike-battery" TargetMode="External" Id="rId145"/><Relationship Type="http://schemas.openxmlformats.org/officeDocument/2006/relationships/hyperlink" Target="https://www.amass-china.com/" TargetMode="External" Id="rId146"/><Relationship Type="http://schemas.openxmlformats.org/officeDocument/2006/relationships/hyperlink" Target="https://www.digikey.com/en/products/result?keywords=ideal+diode+controller+65V" TargetMode="External" Id="rId147"/><Relationship Type="http://schemas.openxmlformats.org/officeDocument/2006/relationships/hyperlink" Target="https://www.xn--tuksivabrik-ffb.ee/batteries/" TargetMode="External" Id="rId148"/><Relationship Type="http://schemas.openxmlformats.org/officeDocument/2006/relationships/hyperlink" Target="https://shop.danenergy.com/it/products/li-ion-battery-softpack-13s2p-48v-10ah-60a" TargetMode="External" Id="rId149"/><Relationship Type="http://schemas.openxmlformats.org/officeDocument/2006/relationships/hyperlink" Target="https://www.kit-elec-shop.com/gb/power-relays/4519-ed250b-1-manual-single-pole-emergency-stop-96v-250a.html" TargetMode="External" Id="rId150"/><Relationship Type="http://schemas.openxmlformats.org/officeDocument/2006/relationships/hyperlink" Target="https://www.reichelt.com/de/en/shop/product/unitree_g1_battery_9000_mah-421788" TargetMode="External" Id="rId151"/><Relationship Type="http://schemas.openxmlformats.org/officeDocument/2006/relationships/hyperlink" Target="https://enerprof.de/en/products/li-ion-akku-softpack-13s5p-48v-25ah-100a" TargetMode="External" Id="rId152"/><Relationship Type="http://schemas.openxmlformats.org/officeDocument/2006/relationships/hyperlink" Target="https://shop.danenergy.com/he-eu/products/li-ion-battery-softpack-13s5p-48v-25ah-100a-1" TargetMode="External" Id="rId153"/><Relationship Type="http://schemas.openxmlformats.org/officeDocument/2006/relationships/hyperlink" Target="https://www.digikey.it/it/products/detail/mean-well-usa-inc/RSD-500C-24/12341362" TargetMode="External" Id="rId154"/><Relationship Type="http://schemas.openxmlformats.org/officeDocument/2006/relationships/hyperlink" Target="https://www.wehopower.com/product/48v-to-24v-10a-240w-dc-to-dc-converter" TargetMode="External" Id="rId155"/><Relationship Type="http://schemas.openxmlformats.org/officeDocument/2006/relationships/hyperlink" Target="https://www.wehopower.com/product/48v-to-24v-10a-240w-dc-to-dc-converter" TargetMode="External" Id="rId156"/><Relationship Type="http://schemas.openxmlformats.org/officeDocument/2006/relationships/hyperlink" Target="https://www.digikey.com/en/products/detail/cincon-electronics-co-ltd/CHB350-48S24/9684431" TargetMode="External" Id="rId157"/><Relationship Type="http://schemas.openxmlformats.org/officeDocument/2006/relationships/hyperlink" Target="https://www.cincon.com/productdownload/CHB350-series-application-note.pdf" TargetMode="External" Id="rId158"/><Relationship Type="http://schemas.openxmlformats.org/officeDocument/2006/relationships/hyperlink" Target="https://micropower-group.com/products/dcdc-converters-chargers/dcdc-converter-isolated/48-24-657" TargetMode="External" Id="rId159"/><Relationship Type="http://schemas.openxmlformats.org/officeDocument/2006/relationships/hyperlink" Target="https://www.digikey.com/en/products/detail/omron-electronics-inc-emc-div/G7L-1A-B-CB-DC48/369334" TargetMode="External" Id="rId160"/><Relationship Type="http://schemas.openxmlformats.org/officeDocument/2006/relationships/hyperlink" Target="https://www.digikey.com/en/products/detail/mean-well-usa-inc/SD-200C-24/7706499" TargetMode="External" Id="rId161"/><Relationship Type="http://schemas.openxmlformats.org/officeDocument/2006/relationships/hyperlink" Target="https://www.digikey.com/en/products/detail/mean-well-usa-inc/RSD-300C-24/7706243" TargetMode="External" Id="rId162"/><Relationship Type="http://schemas.openxmlformats.org/officeDocument/2006/relationships/hyperlink" Target="https://www.seeedstudio.com/Robostride-CAN-USB-Driver-Board-p-6708.html" TargetMode="External" Id="rId163"/><Relationship Type="http://schemas.openxmlformats.org/officeDocument/2006/relationships/hyperlink" Target="https://www.waveshare.com/product/usb-to-2ch-rs485.htm" TargetMode="External" Id="rId164"/><Relationship Type="http://schemas.openxmlformats.org/officeDocument/2006/relationships/hyperlink" Target="https://www.waveshare.com/usb3.2-gen1-hub-4u.htm" TargetMode="External" Id="rId165"/><Relationship Type="http://schemas.openxmlformats.org/officeDocument/2006/relationships/hyperlink" Target="https://www.conrad.it/it/p/lindy-cavo-usb-usb-2-0-spina-usb-c-spina-usb-b-0-50-m-nero-36940-2842258.html" TargetMode="External" Id="rId166"/><Relationship Type="http://schemas.openxmlformats.org/officeDocument/2006/relationships/hyperlink" Target="https://docs.nvidia.com/jetson/archives/r38.2/DeveloperGuide/SD/Kernel/RealTimeKernel.html" TargetMode="External" Id="rId167"/><Relationship Type="http://schemas.openxmlformats.org/officeDocument/2006/relationships/hyperlink" Target="https://www.seeedstudio.com/Power-Cable-XT30-2-2-Female-to-XT30-2-2-Female-300mm-p-6819.html" TargetMode="External" Id="rId168"/><Relationship Type="http://schemas.openxmlformats.org/officeDocument/2006/relationships/hyperlink" Target="https://www.seeedstudio.com/Power-Cable-XT30-2-2-Female-to-XT30-2-2-Female-300mm-p-6819.html" TargetMode="External" Id="rId169"/><Relationship Type="http://schemas.openxmlformats.org/officeDocument/2006/relationships/hyperlink" Target="https://www.seeedstudio.com/Power-Cable-XT30-2-2-Female-to-XT30-2-2-Female-300mm-p-6819.html" TargetMode="External" Id="rId170"/><Relationship Type="http://schemas.openxmlformats.org/officeDocument/2006/relationships/hyperlink" Target="https://www.lcsc.com/product-detail/C19268025.html" TargetMode="External" Id="rId171"/><Relationship Type="http://schemas.openxmlformats.org/officeDocument/2006/relationships/hyperlink" Target="https://www.conrad.com/en/p/jst-socket-housing-cable-gh-total-number-of-pins-2-contact-spacing-1-25-mm-ghr-02v-s-1-pc-s-1426140.html" TargetMode="External" Id="rId172"/><Relationship Type="http://schemas.openxmlformats.org/officeDocument/2006/relationships/hyperlink" Target="https://www.digikey.com/en/products/detail/jst-sales-america-inc/MINI-SSHL-002T-P0-2/807861" TargetMode="External" Id="rId173"/><Relationship Type="http://schemas.openxmlformats.org/officeDocument/2006/relationships/hyperlink" Target="https://it.farnell.com/belden/9841nh/cable-rs-485-1-pair-lszh-per-m/dp/1891187" TargetMode="External" Id="rId174"/><Relationship Type="http://schemas.openxmlformats.org/officeDocument/2006/relationships/hyperlink" Target="https://www.mouser.com/ProductDetail/YAGEO/MFR-25FBF52-120R?qs=oAGoVhmvjhwezjKtxD8soA%3D%3D" TargetMode="External" Id="rId175"/><Relationship Type="http://schemas.openxmlformats.org/officeDocument/2006/relationships/hyperlink" Target="https://www.robstride.com/assets/product_manual_robStride04-37549d59.pdf" TargetMode="External" Id="rId176"/><Relationship Type="http://schemas.openxmlformats.org/officeDocument/2006/relationships/hyperlink" Target="https://docs.nvidia.com/jetson/archives/r38.2.1/DeveloperGuide/HR/ControllerAreaNetworkCan.html" TargetMode="External" Id="rId177"/><Relationship Type="http://schemas.openxmlformats.org/officeDocument/2006/relationships/hyperlink" Target="https://openelab.de/products/mks-canable-pro-chip" TargetMode="External" Id="rId178"/><Relationship Type="http://schemas.openxmlformats.org/officeDocument/2006/relationships/hyperlink" Target="https://openelab.de/products/mks-canable-pro-chip" TargetMode="External" Id="rId179"/><Relationship Type="http://schemas.openxmlformats.org/officeDocument/2006/relationships/hyperlink" Target="https://www.nauticailliano.it/en/product/super-flexible-single-core-flame-retardant-electrical-cable-for-batteries_CABAT.html" TargetMode="External" Id="rId180"/><Relationship Type="http://schemas.openxmlformats.org/officeDocument/2006/relationships/hyperlink" Target="https://www.nauticailliano.it/en/product/super-flexible-single-core-flame-retardant-electrical-cable-for-batteries_CABAT.html" TargetMode="External" Id="rId181"/><Relationship Type="http://schemas.openxmlformats.org/officeDocument/2006/relationships/hyperlink" Target="https://www.nauticailliano.it/en/product/super-flexible-single-core-flame-retardant-electrical-cable-for-batteries_CABAT.html" TargetMode="External" Id="rId182"/><Relationship Type="http://schemas.openxmlformats.org/officeDocument/2006/relationships/hyperlink" Target="https://www.nauticailliano.it/en/product/super-flexible-single-core-flame-retardant-electrical-cable-for-batteries_CABAT.html" TargetMode="External" Id="rId183"/><Relationship Type="http://schemas.openxmlformats.org/officeDocument/2006/relationships/hyperlink" Target="https://www.nauticailliano.it/en/product/super-flexible-single-core-flame-retardant-electrical-cable-for-batteries_CABAT.html" TargetMode="External" Id="rId184"/><Relationship Type="http://schemas.openxmlformats.org/officeDocument/2006/relationships/hyperlink" Target="https://www.nauticailliano.it/en/product/super-flexible-single-core-flame-retardant-electrical-cable-for-batteries_CABAT.html" TargetMode="External" Id="rId185"/><Relationship Type="http://schemas.openxmlformats.org/officeDocument/2006/relationships/hyperlink" Target="https://www.buerklin.com/en/p/klauke/cable-lugs/704f5/07F1391/" TargetMode="External" Id="rId186"/><Relationship Type="http://schemas.openxmlformats.org/officeDocument/2006/relationships/hyperlink" Target="https://www.heamar.co.uk/klauke-704f10-m10-25mm-f-series-copper-tubular-cable-lug.html" TargetMode="External" Id="rId187"/><Relationship Type="http://schemas.openxmlformats.org/officeDocument/2006/relationships/hyperlink" Target="https://www.heamar.co.uk/klauke-704f8-m8-25mm-f-series-copper-tubular-cable-lug.html" TargetMode="External" Id="rId188"/><Relationship Type="http://schemas.openxmlformats.org/officeDocument/2006/relationships/hyperlink" Target="https://www.buerklin.com/en/p/klauke/cable-lugs/703f5/07F1381/" TargetMode="External" Id="rId189"/><Relationship Type="http://schemas.openxmlformats.org/officeDocument/2006/relationships/hyperlink" Target="https://www.buerklin.com/en/p/klauke/cable-lugs/101r5/07F2090/" TargetMode="External" Id="rId190"/><Relationship Type="http://schemas.openxmlformats.org/officeDocument/2006/relationships/hyperlink" Target="https://www.buerklin.com/en/Crimping-pliers-for%C2%A0Tubular-cable-lugs-and-connectors-6-0-50-mm%C2%B2-Klauke-K05/p/05L2734" TargetMode="External" Id="rId191"/><Relationship Type="http://schemas.openxmlformats.org/officeDocument/2006/relationships/hyperlink" Target="https://media.digikey.com/pdf/Data%20Sheets/JST%20PDFs/YRS-1590_spec.pdf" TargetMode="External" Id="rId192"/><Relationship Type="http://schemas.openxmlformats.org/officeDocument/2006/relationships/hyperlink" Target="https://www.amazon.it/Guaine-Termorestringenti-Tubi-Termorestringente-fai/dp/B0778D22WM" TargetMode="External" Id="rId193"/><Relationship Type="http://schemas.openxmlformats.org/officeDocument/2006/relationships/hyperlink" Target="https://www.amazon.it/Basette-Fascette-Cablaggio-Neutro-Trasparente-Confezione/dp/B09HQYXPHZ" TargetMode="External" Id="rId194"/><Relationship Type="http://schemas.openxmlformats.org/officeDocument/2006/relationships/hyperlink" Target="https://www.amazon.it/AmazonBasics-maschio-Type-C-USB-colore/dp/B01GGKYR2O" TargetMode="External" Id="rId195"/><Relationship Type="http://schemas.openxmlformats.org/officeDocument/2006/relationships/hyperlink" Target="https://www.seeedstudio.com/Power-Cable-XT30-2-2-Female-to-XT30-2-2-Female-300mm-p-6819.html" TargetMode="External" Id="rId196"/><Relationship Type="http://schemas.openxmlformats.org/officeDocument/2006/relationships/hyperlink" Target="https://www.belden.com/products/cable/electronic-cable/data-cable/9841" TargetMode="External" Id="rId197"/><Relationship Type="http://schemas.openxmlformats.org/officeDocument/2006/relationships/hyperlink" Target="https://www.belden.com/products/cable/electronic-cable/data-cable/9841" TargetMode="External" Id="rId198"/><Relationship Type="http://schemas.openxmlformats.org/officeDocument/2006/relationships/hyperlink" Target="https://www.ti.com/lit/an/slla270/slla270.pdf" TargetMode="External" Id="rId199"/><Relationship Type="http://schemas.openxmlformats.org/officeDocument/2006/relationships/hyperlink" Target="https://www.seeedstudio.com/XT30-2-2-Power-Separation-Board-p-6707.html" TargetMode="External" Id="rId200"/><Relationship Type="http://schemas.openxmlformats.org/officeDocument/2006/relationships/hyperlink" Target="https://www.robstride.com/assets/product_manual_robStride04-37549d59.pdf" TargetMode="External" Id="rId201"/><Relationship Type="http://schemas.openxmlformats.org/officeDocument/2006/relationships/hyperlink" Target="https://www.igus.eu/info/chainflex-cable-strain-relief" TargetMode="External" Id="rId202"/><Relationship Type="http://schemas.openxmlformats.org/officeDocument/2006/relationships/hyperlink" Target="https://www.ti.com/lit/an/slla270/slla270.pdf" TargetMode="External" Id="rId203"/><Relationship Type="http://schemas.openxmlformats.org/officeDocument/2006/relationships/hyperlink" Target="https://www.seeedstudio.com/NVIDIA-Jetson-AGX-Thor-Developer-Kit-p-9965.html" TargetMode="External" Id="rId204"/><Relationship Type="http://schemas.openxmlformats.org/officeDocument/2006/relationships/hyperlink" Target="https://www.waveshare.com/product/usb-to-audio.htm" TargetMode="External" Id="rId205"/><Relationship Type="http://schemas.openxmlformats.org/officeDocument/2006/relationships/hyperlink" Target="https://eu.mouser.com/ProductDetail/PUI-Audio/AS03604AR?qs=VVKQmw408U%2FBSl17uW5%2FPA%3D%3D" TargetMode="External" Id="rId206"/><Relationship Type="http://schemas.openxmlformats.org/officeDocument/2006/relationships/hyperlink" Target="https://www.lindy.eu/USB-3-2-Type-C-to-A-Adapter.htm?pi=41899&amp;websale8=ld0101.ld021102" TargetMode="External" Id="rId207"/><Relationship Type="http://schemas.openxmlformats.org/officeDocument/2006/relationships/hyperlink" Target="https://puiaudio.com/product/s/AS03604AR" TargetMode="External" Id="rId208"/><Relationship Type="http://schemas.openxmlformats.org/officeDocument/2006/relationships/hyperlink" Target="https://store.realsenseai.com/buy-intel-realsense-depth-camera-d436.html" TargetMode="External" Id="rId209"/><Relationship Type="http://schemas.openxmlformats.org/officeDocument/2006/relationships/hyperlink" Target="https://dev.realsenseai.com/docs/stereo-depth-camera-d400#cad-files" TargetMode="External" Id="rId210"/><Relationship Type="http://schemas.openxmlformats.org/officeDocument/2006/relationships/hyperlink" Target="https://www.digikey.com/en/products/detail/molex/0430250400/252497" TargetMode="External" Id="rId211"/><Relationship Type="http://schemas.openxmlformats.org/officeDocument/2006/relationships/hyperlink" Target="https://www.digikey.com/en/products/detail/molex/0430300040/11503719" TargetMode="External" Id="rId212"/><Relationship Type="http://schemas.openxmlformats.org/officeDocument/2006/relationships/hyperlink" Target="https://www.phidgets.com/?prodid=1205" TargetMode="External" Id="rId213"/><Relationship Type="http://schemas.openxmlformats.org/officeDocument/2006/relationships/hyperlink" Target="https://www.phidgets.com/productfiles/MOT0110/MOT0110_0/Images/MOT0110_0_3D.zip" TargetMode="External" Id="rId214"/><Relationship Type="http://schemas.openxmlformats.org/officeDocument/2006/relationships/hyperlink" Target="https://www.phidgets.com/?prodid=1248" TargetMode="External" Id="rId215"/><Relationship Type="http://schemas.openxmlformats.org/officeDocument/2006/relationships/hyperlink" Target="https://www.digikey.com/en/products/detail/xsens-technologies-bv/MTI-3-DK/5325385" TargetMode="External" Id="rId216"/><Relationship Type="http://schemas.openxmlformats.org/officeDocument/2006/relationships/hyperlink" Target="https://connecttech.com/product/gauntlet-carrier-board-for-nvidia-jetson-thor/" TargetMode="External" Id="rId217"/><Relationship Type="http://schemas.openxmlformats.org/officeDocument/2006/relationships/hyperlink" Target="https://github.com/unitreerobotics/unitree_ros/blob/master/robots/g1_description/g1_29dof_mode_11.urdf" TargetMode="External" Id="rId218"/><Relationship Type="http://schemas.openxmlformats.org/officeDocument/2006/relationships/hyperlink" Target="https://github.com/unitreerobotics/unitree_ros/tree/master/robots/g1_description" TargetMode="External" Id="rId219"/><Relationship Type="http://schemas.openxmlformats.org/officeDocument/2006/relationships/hyperlink" Target="https://www.unitree.com/robocup/" TargetMode="External" Id="rId220"/><Relationship Type="http://schemas.openxmlformats.org/officeDocument/2006/relationships/hyperlink" Target="https://marketing.unitree.com/article/en/G1/Lumbar_fasteners.html" TargetMode="External" Id="rId221"/><Relationship Type="http://schemas.openxmlformats.org/officeDocument/2006/relationships/hyperlink" Target="https://docs.kscale.dev/robots/k-bot/mechanical/" TargetMode="External" Id="rId222"/><Relationship Type="http://schemas.openxmlformats.org/officeDocument/2006/relationships/hyperlink" Target="https://cad.onshape.com/publications/e15cf8edefacbba3009917c0/" TargetMode="External" Id="rId223"/></Relationships>
</file>

<file path=xl/worksheets/sheet1.xml><?xml version="1.0" encoding="utf-8"?>
<worksheet xmlns="http://schemas.openxmlformats.org/spreadsheetml/2006/main">
  <sheetPr>
    <outlinePr summaryBelow="1" summaryRight="1"/>
    <pageSetUpPr/>
  </sheetPr>
  <dimension ref="A1:T218"/>
  <sheetViews>
    <sheetView workbookViewId="0">
      <pane ySplit="1" topLeftCell="A2" activePane="bottomLeft" state="frozen"/>
      <selection pane="bottomLeft" activeCell="A1" sqref="A1"/>
    </sheetView>
  </sheetViews>
  <sheetFormatPr baseColWidth="8" defaultRowHeight="15"/>
  <cols>
    <col width="44" customWidth="1" min="1" max="1"/>
    <col width="18" customWidth="1" min="2" max="2"/>
    <col width="11" customWidth="1" min="3" max="3"/>
    <col width="8" customWidth="1" min="4" max="4"/>
    <col width="11" customWidth="1" min="5" max="5"/>
    <col width="6" customWidth="1" min="6" max="6"/>
    <col width="12" customWidth="1" min="7" max="7"/>
    <col hidden="1" width="6" customWidth="1" min="8" max="8"/>
    <col hidden="1" width="11" customWidth="1" min="9" max="9"/>
    <col hidden="1" width="9" customWidth="1" min="10" max="10"/>
    <col hidden="1" width="9" customWidth="1" min="11" max="11"/>
    <col hidden="1" width="8" customWidth="1" min="12" max="12"/>
    <col hidden="1" width="30" customWidth="1" min="13" max="13"/>
    <col width="58" customWidth="1" min="14" max="14"/>
    <col width="52" customWidth="1" min="15" max="15"/>
    <col width="14" customWidth="1" min="16" max="16"/>
    <col width="36" customWidth="1" min="17" max="17"/>
    <col width="10" customWidth="1" min="18" max="18"/>
    <col width="11" customWidth="1" min="19" max="19"/>
    <col width="36" customWidth="1" min="20" max="20"/>
  </cols>
  <sheetData>
    <row r="1" ht="30" customHeight="1">
      <c r="A1" s="1" t="inlineStr">
        <is>
          <t>Item</t>
        </is>
      </c>
      <c r="B1" s="1" t="inlineStr">
        <is>
          <t>Supplier</t>
        </is>
      </c>
      <c r="C1" s="1" t="inlineStr">
        <is>
          <t>Unit cost</t>
        </is>
      </c>
      <c r="D1" s="1" t="inlineStr">
        <is>
          <t>VAT/Duties</t>
        </is>
      </c>
      <c r="E1" s="1" t="inlineStr">
        <is>
          <t>VAT/Duties amount</t>
        </is>
      </c>
      <c r="F1" s="1" t="inlineStr">
        <is>
          <t>Qty</t>
        </is>
      </c>
      <c r="G1" s="1" t="inlineStr">
        <is>
          <t>Total</t>
        </is>
      </c>
      <c r="H1" s="1" t="inlineStr">
        <is>
          <t>Weeks</t>
        </is>
      </c>
      <c r="I1" s="1" t="inlineStr">
        <is>
          <t>Destination</t>
        </is>
      </c>
      <c r="J1" s="1" t="inlineStr">
        <is>
          <t>Delivery</t>
        </is>
      </c>
      <c r="K1" s="1" t="inlineStr">
        <is>
          <t>Test</t>
        </is>
      </c>
      <c r="L1" s="1" t="inlineStr">
        <is>
          <t>Status</t>
        </is>
      </c>
      <c r="M1" s="1" t="inlineStr">
        <is>
          <t>Serial</t>
        </is>
      </c>
      <c r="N1" s="1" t="inlineStr">
        <is>
          <t>Description / purpose</t>
        </is>
      </c>
      <c r="O1" s="1" t="inlineStr">
        <is>
          <t>Notes</t>
        </is>
      </c>
      <c r="P1" s="1" t="inlineStr">
        <is>
          <t>Category</t>
        </is>
      </c>
      <c r="Q1" s="1" t="inlineStr">
        <is>
          <t>Purchase link</t>
        </is>
      </c>
      <c r="R1" s="1" t="inlineStr">
        <is>
          <t>Phase</t>
        </is>
      </c>
      <c r="S1" s="1" t="inlineStr">
        <is>
          <t>Mass (kg)</t>
        </is>
      </c>
      <c r="T1" s="1" t="inlineStr">
        <is>
          <t>CAD 3D</t>
        </is>
      </c>
    </row>
    <row r="2" ht="20" customHeight="1">
      <c r="A2" s="2" t="inlineStr">
        <is>
          <t>1 - MECHANICAL PROTOTYPE - 2-axis ankle offset gimbal + M8 pushrods</t>
        </is>
      </c>
    </row>
    <row r="3" hidden="1">
      <c r="A3" s="3" t="inlineStr">
        <is>
          <t>[SELECTED qty0] Ankle foot-shin 2-axis offset gimbal - igus sliding bush concept (decision 2026-06-03, updated to Ø8/M6 pins)</t>
        </is>
      </c>
      <c r="B3" s="4" t="inlineStr">
        <is>
          <t>internal print + standard hardware</t>
        </is>
      </c>
      <c r="C3" s="5" t="n">
        <v>0</v>
      </c>
      <c r="D3" s="6" t="n">
        <v>0.22</v>
      </c>
      <c r="E3" s="5">
        <f>C3*D3</f>
        <v/>
      </c>
      <c r="F3" s="4" t="n">
        <v>0</v>
      </c>
      <c r="G3" s="5">
        <f>(C3+E3)*F3</f>
        <v/>
      </c>
      <c r="H3" s="4" t="n"/>
      <c r="I3" s="4" t="n"/>
      <c r="J3" s="4" t="n"/>
      <c r="K3" s="4" t="n"/>
      <c r="L3" s="4" t="n"/>
      <c r="M3" s="4" t="n"/>
      <c r="N3" s="3" t="inlineStr">
        <is>
          <t>Selected architecture: compact 2-axis ankle gimbal with two Ø8/M6 shoulder screws stacked in Z, not a perfect intersecting-axis universal joint. Higher-Z 45 mm pin = pitch axis; lower-Z 45 mm pin = roll axis. The gimbal pins are not the same function as the pushrods: gimbal pins define the foot-shin joint axes; pushrod pins carry the rod-end spherical bearings.</t>
        </is>
      </c>
      <c r="O3" s="3" t="inlineStr">
        <is>
          <t>Current pin choice from user update 2026-06-27: Ø8/M6 black shoulder screws from AliExpress, 2 x 45 mm for the ankle gimbal and 4 x 16 mm for the pushrod rod-end pivots, plus 6 M6 retaining nuts. Pushrod length adjustment uses M8 right-hand/left-hand rod-end threads plus 4 x M8 DIN 439 thin jam nuts. Model the real pitch/roll Z offset in CAD/simulation; do not assume an ideal single-center Cardan map. Bushing/bearing choice still depends on the CAD stack-up.</t>
        </is>
      </c>
      <c r="P3" s="4" t="inlineStr">
        <is>
          <t>Mechanical</t>
        </is>
      </c>
      <c r="Q3" s="4" t="inlineStr">
        <is>
          <t>https://github.com/unitreerobotics/unitree_ros/blob/master/robots/g1_description/g1_29dof_mode_11.urdf</t>
        </is>
      </c>
      <c r="R3" s="4" t="inlineStr">
        <is>
          <t>Phase 1</t>
        </is>
      </c>
      <c r="S3" s="4" t="n"/>
      <c r="T3" s="4" t="n"/>
    </row>
    <row r="4" hidden="1">
      <c r="A4" s="3" t="inlineStr">
        <is>
          <t>[ALT qty0] SKF PCM 121420 E - bushing radente PTFE composito 12x14x20 mm</t>
        </is>
      </c>
      <c r="B4" s="4" t="inlineStr">
        <is>
          <t>Cuscinetti and Componenti</t>
        </is>
      </c>
      <c r="C4" s="5" t="n">
        <v>2.13</v>
      </c>
      <c r="D4" s="6" t="n">
        <v>0.22</v>
      </c>
      <c r="E4" s="5">
        <f>C4*D4</f>
        <v/>
      </c>
      <c r="F4" s="4" t="n">
        <v>0</v>
      </c>
      <c r="G4" s="5">
        <f>(C4+E4)*F4</f>
        <v/>
      </c>
      <c r="H4" s="4" t="n"/>
      <c r="I4" s="4" t="n"/>
      <c r="J4" s="4" t="n"/>
      <c r="K4" s="4" t="n"/>
      <c r="L4" s="4" t="n"/>
      <c r="M4" s="4" t="n"/>
      <c r="N4" s="3" t="inlineStr">
        <is>
          <t>Esempio reale di bushing radente sottile per un axis diametro 12 mm del giunto foot-shin: bore 12 mm, esterno 14 mm, lunghezza 20 mm.</t>
        </is>
      </c>
      <c r="O4" s="3" t="inlineStr">
        <is>
          <t>Exact SKU SKF PCM121420E. Price checked 2026-06-02: EUR 2.13 netto. Alternative candidata per oscillazione lenta; qty 0 finche CAD, carichi, accoppiamento pin-sede and control assiale non sono definiti.</t>
        </is>
      </c>
      <c r="P4" s="4" t="inlineStr">
        <is>
          <t>Mechanical</t>
        </is>
      </c>
      <c r="Q4" s="4" t="inlineStr">
        <is>
          <t>https://cuscinettiecomponenti.it/prodotto/pcm-121420-e-boccole-di-usura-12x14x20-skf/</t>
        </is>
      </c>
      <c r="R4" s="4" t="inlineStr">
        <is>
          <t>Phase 1</t>
        </is>
      </c>
      <c r="S4" s="4" t="n"/>
      <c r="T4" s="4" t="n"/>
    </row>
    <row r="5" hidden="1">
      <c r="A5" s="3" t="inlineStr">
        <is>
          <t>[ALT qty0] SKF PCM 121425 E - bushing radente PTFE composito 12x14x25 mm</t>
        </is>
      </c>
      <c r="B5" s="4" t="inlineStr">
        <is>
          <t>Cuscinetti and Componenti</t>
        </is>
      </c>
      <c r="C5" s="5" t="n">
        <v>2.94</v>
      </c>
      <c r="D5" s="6" t="n">
        <v>0.22</v>
      </c>
      <c r="E5" s="5">
        <f>C5*D5</f>
        <v/>
      </c>
      <c r="F5" s="4" t="n">
        <v>0</v>
      </c>
      <c r="G5" s="5">
        <f>(C5+E5)*F5</f>
        <v/>
      </c>
      <c r="H5" s="4" t="n"/>
      <c r="I5" s="4" t="n"/>
      <c r="J5" s="4" t="n"/>
      <c r="K5" s="4" t="n"/>
      <c r="L5" s="4" t="n"/>
      <c r="M5" s="4" t="n"/>
      <c r="N5" s="3" t="inlineStr">
        <is>
          <t>Esempio reale piu lungo della stessa famiglia: bore 12 mm, esterno 14 mm, lunghezza 25 mm. Dimostra che una bushing unica lunga 25 mm and un componente standard.</t>
        </is>
      </c>
      <c r="O5" s="3" t="inlineStr">
        <is>
          <t>Exact SKU SKF PCM121425E. Price checked 2026-06-02: EUR 2.94 netto. Qty 0: la maggiore lunghezza non and automaticamente migliore se introduce disallineamento o se il CAD non offre una sede corretta.</t>
        </is>
      </c>
      <c r="P5" s="4" t="inlineStr">
        <is>
          <t>Mechanical</t>
        </is>
      </c>
      <c r="Q5" s="4" t="inlineStr">
        <is>
          <t>https://cuscinettiecomponenti.it/prodotto/pcm-121425-e-boccole-di-usura-12x14x25-skf/</t>
        </is>
      </c>
      <c r="R5" s="4" t="inlineStr">
        <is>
          <t>Phase 1</t>
        </is>
      </c>
      <c r="S5" s="4" t="n"/>
      <c r="T5" s="4" t="n"/>
    </row>
    <row r="6" hidden="1">
      <c r="A6" s="3" t="inlineStr">
        <is>
          <t>[ALT qty0] igus iglidur Q2SM-1214-20 - bushing polimerica heavy-duty 12x14x20 mm</t>
        </is>
      </c>
      <c r="B6" s="4" t="inlineStr">
        <is>
          <t>igus / EBMiA</t>
        </is>
      </c>
      <c r="C6" s="5" t="n">
        <v>6.15</v>
      </c>
      <c r="D6" s="6" t="n">
        <v>0.22</v>
      </c>
      <c r="E6" s="5">
        <f>C6*D6</f>
        <v/>
      </c>
      <c r="F6" s="4" t="n">
        <v>0</v>
      </c>
      <c r="G6" s="5">
        <f>(C6+E6)*F6</f>
        <v/>
      </c>
      <c r="H6" s="4" t="n"/>
      <c r="I6" s="4" t="n"/>
      <c r="J6" s="4" t="n"/>
      <c r="K6" s="4" t="n"/>
      <c r="L6" s="4" t="n"/>
      <c r="M6" s="4" t="n"/>
      <c r="N6" s="3" t="inlineStr">
        <is>
          <t>Esempio polimerico autolubrificante per axis diametro 12 mm: esterno 14 mm, lunghezza 20 mm. Il materiale Q2 and sviluppato per applicazioni pivotanti with carichi dinamici, urti and sporco.</t>
        </is>
      </c>
      <c r="O6" s="3" t="inlineStr">
        <is>
          <t>Exact SKU igus Q2SM-1214-20. Price checked 2026-06-02: PLN 25.89 netto, about EUR 6.15. Qty 0: check pressione superficiale, usura, sede and tolleranze with il tool igus prima della selezione.</t>
        </is>
      </c>
      <c r="P6" s="4" t="inlineStr">
        <is>
          <t>Mechanical</t>
        </is>
      </c>
      <c r="Q6" s="4" t="inlineStr">
        <is>
          <t>https://www.ebmia.pl/tuleje-slizgowe-iglidur-q2/199876-tuleja-slizgowa-q2sm-1214-20.html</t>
        </is>
      </c>
      <c r="R6" s="4" t="inlineStr">
        <is>
          <t>Phase 1</t>
        </is>
      </c>
      <c r="S6" s="4" t="n"/>
      <c r="T6" s="4" t="n"/>
    </row>
    <row r="7" hidden="1">
      <c r="A7" s="3" t="inlineStr">
        <is>
          <t>[ALT qty0] igus iglidur Q2FM-1214-12 - bushing flangiata heavy-duty 12x14x12 mm</t>
        </is>
      </c>
      <c r="B7" s="4" t="inlineStr">
        <is>
          <t>igus</t>
        </is>
      </c>
      <c r="C7" s="5" t="n">
        <v>0</v>
      </c>
      <c r="D7" s="6" t="n">
        <v>0.22</v>
      </c>
      <c r="E7" s="5">
        <f>C7*D7</f>
        <v/>
      </c>
      <c r="F7" s="4" t="n">
        <v>0</v>
      </c>
      <c r="G7" s="5">
        <f>(C7+E7)*F7</f>
        <v/>
      </c>
      <c r="H7" s="4" t="n"/>
      <c r="I7" s="4" t="n"/>
      <c r="J7" s="4" t="n"/>
      <c r="K7" s="4" t="n"/>
      <c r="L7" s="4" t="n"/>
      <c r="M7" s="4" t="n"/>
      <c r="N7" s="3" t="inlineStr">
        <is>
          <t>Esempio di bushing radente flangiata per pin diametro 12 mm: guida il carico radiale and offre una battuta assiale integrata. Dimensions: bore 12 mm, esterno 14 mm, lunghezza 12 mm, flangia diametro 20 mm spessa 1 mm.</t>
        </is>
      </c>
      <c r="O7" s="3" t="inlineStr">
        <is>
          <t>Exact SKU igus Q2FM-1214-12. Qty 0: utile se il CAD permette una bushing inserita da ciascun lato del pezzo mobile; non assumere che due pcs da 12 mm entrino nella larghezza disponibile. Q2 and indicato da igus per carichi elevati, urti, sporco and applicazioni pivotanti fortemente sollecitate.</t>
        </is>
      </c>
      <c r="P7" s="4" t="inlineStr">
        <is>
          <t>Mechanical</t>
        </is>
      </c>
      <c r="Q7" s="4" t="inlineStr">
        <is>
          <t>https://www.igus.co.uk/iglidur-ibh/flanged-bearings/product-details/iglidur-q2-m?artnr=Q2FM-1214-12</t>
        </is>
      </c>
      <c r="R7" s="4" t="inlineStr">
        <is>
          <t>Phase 1</t>
        </is>
      </c>
      <c r="S7" s="4" t="n"/>
      <c r="T7" s="4" t="n"/>
    </row>
    <row r="8" hidden="1">
      <c r="A8" s="3" t="inlineStr">
        <is>
          <t>[ARCHIVED qty0] igus GTM-1224-015 - ralla separata (superata: assiale ora nella flangia) 12x24x1.5 mm</t>
        </is>
      </c>
      <c r="B8" s="4" t="inlineStr">
        <is>
          <t>Conrad</t>
        </is>
      </c>
      <c r="C8" s="5" t="n">
        <v>1.22</v>
      </c>
      <c r="D8" s="6" t="n">
        <v>0.22</v>
      </c>
      <c r="E8" s="5">
        <f>C8*D8</f>
        <v/>
      </c>
      <c r="F8" s="4" t="n">
        <v>0</v>
      </c>
      <c r="G8" s="5">
        <f>(C8+E8)*F8</f>
        <v/>
      </c>
      <c r="H8" s="4" t="n"/>
      <c r="I8" s="4" t="n"/>
      <c r="J8" s="4" t="n"/>
      <c r="K8" s="4" t="n"/>
      <c r="L8" s="4" t="n"/>
      <c r="M8" s="4" t="n"/>
      <c r="N8" s="3" t="inlineStr">
        <is>
          <t>Ralla radente separata da registrare sul pezzo centrale mobile tra questo and ciascuna orecchia esterna quando la bushing radiale non ha flangia. Porta lo strisciamento assiale su una superficie progettata allo scopo.</t>
        </is>
      </c>
      <c r="O8" s="3" t="inlineStr">
        <is>
          <t>Exact SKU igus GTM-1224-015: bore 12 mm, esterno 24 mm, spessore 1.5 mm. Price checked 2026-06-02: EUR 1.49 IVA inclusa su Conrad. Qty 0: non lasciarla libera tra due facce PA-CF. Prevedere una sede di registrazione and una controfaccia metallica fissa, liscia and sostituibile nell'orecchia; definire gioco assiale nel CAD.</t>
        </is>
      </c>
      <c r="P8" s="4" t="inlineStr">
        <is>
          <t>Mechanical</t>
        </is>
      </c>
      <c r="Q8" s="4" t="inlineStr">
        <is>
          <t>https://www.conrad.com/en/p/igus-gtm-1224-015-shim-ring-bore-diameter-12-mm-1416586.html</t>
        </is>
      </c>
      <c r="R8" s="4" t="inlineStr">
        <is>
          <t>Phase 1</t>
        </is>
      </c>
      <c r="S8" s="4" t="n"/>
      <c r="T8" s="4" t="n"/>
    </row>
    <row r="9" hidden="1">
      <c r="A9" s="3" t="inlineStr">
        <is>
          <t>[ARCHIVED qty0] SKF HK 1216.2RS - rullini without anello interno (superato) 12x18x16 mm</t>
        </is>
      </c>
      <c r="B9" s="4" t="inlineStr">
        <is>
          <t>Cuscinetti and Componenti</t>
        </is>
      </c>
      <c r="C9" s="5" t="n">
        <v>0</v>
      </c>
      <c r="D9" s="6" t="n">
        <v>0.22</v>
      </c>
      <c r="E9" s="5">
        <f>C9*D9</f>
        <v/>
      </c>
      <c r="F9" s="4" t="n">
        <v>0</v>
      </c>
      <c r="G9" s="5">
        <f>(C9+E9)*F9</f>
        <v/>
      </c>
      <c r="H9" s="4" t="n"/>
      <c r="I9" s="4" t="n"/>
      <c r="J9" s="4" t="n"/>
      <c r="K9" s="4" t="n"/>
      <c r="L9" s="4" t="n"/>
      <c r="M9" s="4" t="n"/>
      <c r="N9" s="3" t="inlineStr">
        <is>
          <t>Alternative volvente compatta per il solo carico radiale del pin diametro 12 mm. Va alloggiata nel pezzo mobile oppure nella coppia di orecchie, non contemporaneamente in entrambi. Non possiede un anello interno da serrare tra gli spallamenti delle orecchie.</t>
        </is>
      </c>
      <c r="O9" s="3" t="inlineStr">
        <is>
          <t>Exact SKU SKF HK1216.2RS: bore 12 mm, esterno 18 mm, lunghezza 16 mm, tenute su entrambi i lati. Disponibilita verificata 2026-06-02: 21 pcs, prezzo su quotazione. Qty 0: richiede che il pin fisso sia una pista interna temprata and rettificata adeguata; non far lavorare automaticamente i rullini su una vite o un pin grezzo. Non and la prima scelta se si vogliono serrare spallamenti contro un vero anello interno.</t>
        </is>
      </c>
      <c r="P9" s="4" t="inlineStr">
        <is>
          <t>Mechanical</t>
        </is>
      </c>
      <c r="Q9" s="4" t="inlineStr">
        <is>
          <t>https://cuscinettiecomponenti.it/prodotto/hk-1216-2rs-cuscinetti-a-rullini-12x18x16-skf/</t>
        </is>
      </c>
      <c r="R9" s="4" t="inlineStr">
        <is>
          <t>Phase 1</t>
        </is>
      </c>
      <c r="S9" s="4" t="n"/>
      <c r="T9" s="4" t="n"/>
    </row>
    <row r="10" hidden="1">
      <c r="A10" s="3" t="inlineStr">
        <is>
          <t>[ARCHIVED qty0] SKF NKI 12/16 - rullini with anello interno (superato dal radente igus flangiato) 12x24x16 mm</t>
        </is>
      </c>
      <c r="B10" s="4" t="inlineStr">
        <is>
          <t>Klium</t>
        </is>
      </c>
      <c r="C10" s="5" t="n">
        <v>22.15</v>
      </c>
      <c r="D10" s="6" t="n">
        <v>0.22</v>
      </c>
      <c r="E10" s="5">
        <f>C10*D10</f>
        <v/>
      </c>
      <c r="F10" s="4" t="n">
        <v>0</v>
      </c>
      <c r="G10" s="5">
        <f>(C10+E10)*F10</f>
        <v/>
      </c>
      <c r="H10" s="4" t="n"/>
      <c r="I10" s="4" t="n"/>
      <c r="J10" s="4" t="n"/>
      <c r="K10" s="4" t="n"/>
      <c r="L10" s="4" t="n"/>
      <c r="M10" s="4" t="n"/>
      <c r="N10" s="3" t="inlineStr">
        <is>
          <t>Prima architettura semplice da disegnare: bearing nel pezzo centrale mobile; anello interno separabile serrato tra gli spallamenti integrati delle due orecchie PA-CF; anello esterno in sede nel centro mobile. Porta il carico radiale without richiedere cappelli metallici nelle orecchie.</t>
        </is>
      </c>
      <c r="O10" s="3" t="inlineStr">
        <is>
          <t>Exact SKU SKF NKI 12/16: bore 12 mm, esterno 24 mm, larghezza 16 mm, anello interno incluso. Price checked 2026-06-02: EUR 22.15 netto su Klium. Qty 0 fino al CAD. Gli spallamenti devono serrare l'anello interno without schiacciare il pezzo centrale mobile; il gioco di funzionamento and tra parte mobile and orecchie, non tra spallamenti and anello interno. NKI non and un reggispinta: se i test mostrano contatto assiale, aggiungere ralle igus registrate oppure un reggispinta separato.</t>
        </is>
      </c>
      <c r="P10" s="4" t="inlineStr">
        <is>
          <t>Mechanical</t>
        </is>
      </c>
      <c r="Q10" s="4" t="inlineStr">
        <is>
          <t>https://www.klium.nl/en/skf-nki-12-16-needle-roller-bearing-with-inner-ring-12x24x16-mm-41676</t>
        </is>
      </c>
      <c r="R10" s="4" t="inlineStr">
        <is>
          <t>Phase 1</t>
        </is>
      </c>
      <c r="S10" s="4" t="n"/>
      <c r="T10" s="4" t="n"/>
    </row>
    <row r="11" hidden="1">
      <c r="A11" s="3" t="inlineStr">
        <is>
          <t>[ARCHIVED qty0] SKF AXK 1226 - reggispinta (superato: assiale ora nella flangia) 12x26x2 mm</t>
        </is>
      </c>
      <c r="B11" s="4" t="inlineStr">
        <is>
          <t>RS Italia</t>
        </is>
      </c>
      <c r="C11" s="5" t="n">
        <v>4.1</v>
      </c>
      <c r="D11" s="6" t="n">
        <v>0.22</v>
      </c>
      <c r="E11" s="5">
        <f>C11*D11</f>
        <v/>
      </c>
      <c r="F11" s="4" t="n">
        <v>0</v>
      </c>
      <c r="G11" s="5">
        <f>(C11+E11)*F11</f>
        <v/>
      </c>
      <c r="H11" s="4" t="n"/>
      <c r="I11" s="4" t="n"/>
      <c r="J11" s="4" t="n"/>
      <c r="K11" s="4" t="n"/>
      <c r="L11" s="4" t="n"/>
      <c r="M11" s="4" t="n"/>
      <c r="N11" s="3" t="inlineStr">
        <is>
          <t>Alternative volvente per carico assiale: una gabbia reggispinta per ciascun lato del pezzo centrale mobile se il CAD richiede attrito assiale molto ridotto.</t>
        </is>
      </c>
      <c r="O11" s="3" t="inlineStr">
        <is>
          <t>Exact SKU SKF AXK 1226: bore 12 mm, esterno 26 mm, spessore 2 mm, carico dinamico 9.15 kN and statico 30 kN. Price checked 2026-06-02: EUR 4.10 netto su RS Italia. Qty 0: tra facce stampate usare due ralle temprate AS 1226 per ciascuna gabbia.</t>
        </is>
      </c>
      <c r="P11" s="4" t="inlineStr">
        <is>
          <t>Mechanical</t>
        </is>
      </c>
      <c r="Q11" s="4" t="inlineStr">
        <is>
          <t>https://it.rs-online.com/web/p/cuscinetti-a-rulli/0514243</t>
        </is>
      </c>
      <c r="R11" s="4" t="inlineStr">
        <is>
          <t>Phase 1</t>
        </is>
      </c>
      <c r="S11" s="4" t="n"/>
      <c r="T11" s="4" t="n"/>
    </row>
    <row r="12" hidden="1">
      <c r="A12" s="3" t="inlineStr">
        <is>
          <t>[ARCHIVED qty0] SKF AS 1226 - ralla temprata per AXK (superato) 12x26x1 mm</t>
        </is>
      </c>
      <c r="B12" s="4" t="inlineStr">
        <is>
          <t>Cuscinetti and Componenti</t>
        </is>
      </c>
      <c r="C12" s="5" t="n">
        <v>1.86</v>
      </c>
      <c r="D12" s="6" t="n">
        <v>0.22</v>
      </c>
      <c r="E12" s="5">
        <f>C12*D12</f>
        <v/>
      </c>
      <c r="F12" s="4" t="n">
        <v>0</v>
      </c>
      <c r="G12" s="5">
        <f>(C12+E12)*F12</f>
        <v/>
      </c>
      <c r="H12" s="4" t="n"/>
      <c r="I12" s="4" t="n"/>
      <c r="J12" s="4" t="n"/>
      <c r="K12" s="4" t="n"/>
      <c r="L12" s="4" t="n"/>
      <c r="M12" s="4" t="n"/>
      <c r="N12" s="3" t="inlineStr">
        <is>
          <t>Pista assiale temprata per la gabbia AXK 1226. Con facce PA-CF o polimeriche non usare direttamente il pezzo stampato come pista dei rullini.</t>
        </is>
      </c>
      <c r="O12" s="3" t="inlineStr">
        <is>
          <t>Exact SKU SKF AS1226: bore 12 mm, esterno 26 mm, spessore 1 mm. Prezzo and stock verificati 2026-06-02: EUR 1.86 netto, 13 pcs disponibili. Qty 0: una soluzione completa per lato occupa 1 + 2 + 1 = 4 mm: AS 1226 + AXK 1226 + AS 1226.</t>
        </is>
      </c>
      <c r="P12" s="4" t="inlineStr">
        <is>
          <t>Mechanical</t>
        </is>
      </c>
      <c r="Q12" s="4" t="inlineStr">
        <is>
          <t>https://cuscinettiecomponenti.it/prodotto/as-1226-cuscinetti-a-rullini-12x26x1-skf/</t>
        </is>
      </c>
      <c r="R12" s="4" t="inlineStr">
        <is>
          <t>Phase 1</t>
        </is>
      </c>
      <c r="S12" s="4" t="n"/>
      <c r="T12" s="4" t="n"/>
    </row>
    <row r="13" hidden="1">
      <c r="A13" s="3" t="inlineStr">
        <is>
          <t xml:space="preserve">[ARCHIVED qty0] HGI PS 12x18x1 DIN 988 - rasamento di registro (superato) </t>
        </is>
      </c>
      <c r="B13" s="4" t="inlineStr">
        <is>
          <t>Cuscinetti.net</t>
        </is>
      </c>
      <c r="C13" s="5" t="n">
        <v>0.48</v>
      </c>
      <c r="D13" s="6" t="n">
        <v>0.22</v>
      </c>
      <c r="E13" s="5">
        <f>C13*D13</f>
        <v/>
      </c>
      <c r="F13" s="4" t="n">
        <v>0</v>
      </c>
      <c r="G13" s="5">
        <f>(C13+E13)*F13</f>
        <v/>
      </c>
      <c r="H13" s="4" t="n"/>
      <c r="I13" s="4" t="n"/>
      <c r="J13" s="4" t="n"/>
      <c r="K13" s="4" t="n"/>
      <c r="L13" s="4" t="n"/>
      <c r="M13" s="4" t="n"/>
      <c r="N13" s="3" t="inlineStr">
        <is>
          <t>Rasamento metallico per calibrare il gioco assiale residuo dopo aver selected la superficie reggispinta. Non sostituisce una ralla radente igus o una pista temprata per AXK.</t>
        </is>
      </c>
      <c r="O13" s="3" t="inlineStr">
        <is>
          <t>Exact SKU HGI12X18X1 / PS12X18X1: bore 12 mm, esterno 18 mm, spessore 1 mm. Prezzo and stock verificati 2026-06-02: EUR 0.48 netto, 57 pcs. Qty 0: scegliere la combinazione finale solo dopo misura dell'assieme; DIN 988 esiste anche in spessori piu fini, ad esempio 0.2 mm.</t>
        </is>
      </c>
      <c r="P13" s="4" t="inlineStr">
        <is>
          <t>Mechanical</t>
        </is>
      </c>
      <c r="Q13" s="4" t="inlineStr">
        <is>
          <t>https://www.cuscinetti.net/e-catalogue/181768-rondella-di-spessoramento-ps-12x18x1-din-988-hgi.html</t>
        </is>
      </c>
      <c r="R13" s="4" t="inlineStr">
        <is>
          <t>Phase 1</t>
        </is>
      </c>
      <c r="S13" s="4" t="n"/>
      <c r="T13" s="4" t="n"/>
    </row>
    <row r="14" hidden="1">
      <c r="A14" s="3" t="inlineStr">
        <is>
          <t>[ALT TO SIZE qty0] Inserti metallici flangiati fissi nelle orecchie ankle - controfacce per axis diam. 12 mm</t>
        </is>
      </c>
      <c r="B14" s="4" t="inlineStr">
        <is>
          <t>Elesa+Ganter DIN 172 / lavorazione custom</t>
        </is>
      </c>
      <c r="C14" s="5" t="n">
        <v>0</v>
      </c>
      <c r="D14" s="6" t="n">
        <v>0.22</v>
      </c>
      <c r="E14" s="5">
        <f>C14*D14</f>
        <v/>
      </c>
      <c r="F14" s="4" t="n">
        <v>0</v>
      </c>
      <c r="G14" s="5">
        <f>(C14+E14)*F14</f>
        <v/>
      </c>
      <c r="H14" s="4" t="n"/>
      <c r="I14" s="4" t="n"/>
      <c r="J14" s="4" t="n"/>
      <c r="K14" s="4" t="n"/>
      <c r="L14" s="4" t="n"/>
      <c r="M14" s="4" t="n"/>
      <c r="N14" s="3" t="inlineStr">
        <is>
          <t>Due inserti a cappello per axis, pressati o registrati nelle orecchie esterne PA-CF: il bore interno guida o contiene il pin fisso diametro 12 mm; la flangia rivolta verso il pezzo centrale offre una controfaccia assiale metallica liscia alla ralla igus.</t>
        </is>
      </c>
      <c r="O14" s="3" t="inlineStr">
        <is>
          <t>Alternative da tenere documentata se si usa la bushing igus centrale stampata oppure se gli spallamenti PA-CF non risultano sufficienti. Reference preliminare CAD: orecchio sinistro about 20 mm + pezzo centrale mobile with bushing about 20 mm + orecchio destro about 20 mm = about 60 mm di corpi strutturali. I cappelli vanno su entrambe le orecchie. Attenzione: una flangia sporgente aumenta il pacco; incassarla nell'orecchia se si vuole restare vicini ai 60 mm. Il bore del cappello guida il pin ma non lo rende automaticamente solidale alle orecchie: progettare anche antirotazione and ritegno assiale.</t>
        </is>
      </c>
      <c r="P14" s="4" t="inlineStr">
        <is>
          <t>Mechanical</t>
        </is>
      </c>
      <c r="Q14" s="4" t="inlineStr">
        <is>
          <t>https://www.elesa.com/siteassets/PDF/PDF_IT/DIN%20172.pdf</t>
        </is>
      </c>
      <c r="R14" s="4" t="inlineStr">
        <is>
          <t>Phase 1</t>
        </is>
      </c>
      <c r="S14" s="4" t="n"/>
      <c r="T14" s="4" t="n"/>
    </row>
    <row r="15" hidden="1">
      <c r="A15" s="3" t="inlineStr">
        <is>
          <t>[OPTIONAL UPGRADE qty0] Elesa+Ganter GN.12825 / DIN 172-B12-20-A - controfaccia metallica nell'orecchia, bore 12 L20</t>
        </is>
      </c>
      <c r="B15" s="4" t="inlineStr">
        <is>
          <t>Verzolla Italia</t>
        </is>
      </c>
      <c r="C15" s="5" t="n">
        <v>6.89</v>
      </c>
      <c r="D15" s="6" t="n">
        <v>0.22</v>
      </c>
      <c r="E15" s="5">
        <f>C15*D15</f>
        <v/>
      </c>
      <c r="F15" s="4" t="n">
        <v>0</v>
      </c>
      <c r="G15" s="5">
        <f>(C15+E15)*F15</f>
        <v/>
      </c>
      <c r="H15" s="4" t="n"/>
      <c r="I15" s="4" t="n"/>
      <c r="J15" s="4" t="n"/>
      <c r="K15" s="4" t="n"/>
      <c r="L15" s="4" t="n"/>
      <c r="M15" s="4" t="n"/>
      <c r="N15" s="3" t="inlineStr">
        <is>
          <t>Candidato standard per ciascuna orecchia se si stampa la bushing centrale igus: bussola guida temprata a cappello, bore interno 12 mm F7, esterno 18 mm n6, flangia diametro 22 mm, corpo lungo 20 mm and flangia spessa 4 mm.</t>
        </is>
      </c>
      <c r="O15" s="3" t="inlineStr">
        <is>
          <t>Exact SKU Elesa+Ganter DIN172-B12-20-A / GN.12825, codice Verzolla Y1137. Prezzo and disponibilita verificati 2026-06-02: EUR 6.89 each, 5 disponibili. Qty 0: quantity attesa se usata su entrambi gli assi and su entrambe le caviglie = 8 pcs, ma attivare solo dopo CAD. Per mantenere il reference about 60 mm incassare la flangia da 4 mm nell'orecchia; check inoltre controfaccia, fit nel PA-CF and antirotazione del pin.</t>
        </is>
      </c>
      <c r="P15" s="4" t="inlineStr">
        <is>
          <t>Mechanical</t>
        </is>
      </c>
      <c r="Q15" s="4" t="inlineStr">
        <is>
          <t>https://www.verzolla.com/elesa-bussola-di-guida-flangiata-din172-b12-20-a-y1137</t>
        </is>
      </c>
      <c r="R15" s="4" t="inlineStr">
        <is>
          <t>Phase 1</t>
        </is>
      </c>
      <c r="S15" s="4" t="n"/>
      <c r="T15" s="4" t="n"/>
    </row>
    <row r="16" hidden="1">
      <c r="A16" s="3" t="inlineStr">
        <is>
          <t>[ALT FORNITORE qty0] Otto Ganter 172-B12-20-A - cappello metallico flangiato bore 12 mm, L20</t>
        </is>
      </c>
      <c r="B16" s="4" t="inlineStr">
        <is>
          <t>Best4Automation</t>
        </is>
      </c>
      <c r="C16" s="5" t="n">
        <v>5.26</v>
      </c>
      <c r="D16" s="6" t="n">
        <v>0.22</v>
      </c>
      <c r="E16" s="5">
        <f>C16*D16</f>
        <v/>
      </c>
      <c r="F16" s="4" t="n">
        <v>0</v>
      </c>
      <c r="G16" s="5">
        <f>(C16+E16)*F16</f>
        <v/>
      </c>
      <c r="H16" s="4" t="n"/>
      <c r="I16" s="4" t="n"/>
      <c r="J16" s="4" t="n"/>
      <c r="K16" s="4" t="n"/>
      <c r="L16" s="4" t="n"/>
      <c r="M16" s="4" t="n"/>
      <c r="N16" s="3" t="inlineStr">
        <is>
          <t>Secondo fornitore dello stesso cappello normalizzato DIN 172-B12-20-A: acciaio, bore 12 mm, esterno 18 mm, flangia 22 mm, lunghezza corpo 20 mm, flangia 4 mm.</t>
        </is>
      </c>
      <c r="O16" s="3" t="inlineStr">
        <is>
          <t>Exact product Ganter 172-B12-20-A. Prezzo and consegna verificati 2026-06-02: EUR 5.26 netto each, indicato spedibile in 2-3 giorni lavorativi; vendita B2B. Qty 0: alternative di approvvigionamento allo stesso componente Verzolla.</t>
        </is>
      </c>
      <c r="P16" s="4" t="inlineStr">
        <is>
          <t>Mechanical</t>
        </is>
      </c>
      <c r="Q16" s="4" t="inlineStr">
        <is>
          <t>https://www.best4automation.com/positionierbuchse-mit-bund-bohrung-eins.-gerundet-sc-4042-172-b12-20-a/</t>
        </is>
      </c>
      <c r="R16" s="4" t="inlineStr">
        <is>
          <t>Phase 1</t>
        </is>
      </c>
      <c r="S16" s="4" t="n"/>
      <c r="T16" s="4" t="n"/>
    </row>
    <row r="17" hidden="1">
      <c r="A17" s="3" t="inlineStr">
        <is>
          <t>[ALT EQUIVALENTE qty0] KIPP K1022.A1200X20 - cappello metallico flangiato DIN 172 bore 12 mm, L20</t>
        </is>
      </c>
      <c r="B17" s="4" t="inlineStr">
        <is>
          <t>Normteile Leinigen</t>
        </is>
      </c>
      <c r="C17" s="5" t="n">
        <v>4.5</v>
      </c>
      <c r="D17" s="6" t="n">
        <v>0.22</v>
      </c>
      <c r="E17" s="5">
        <f>C17*D17</f>
        <v/>
      </c>
      <c r="F17" s="4" t="n">
        <v>0</v>
      </c>
      <c r="G17" s="5">
        <f>(C17+E17)*F17</f>
        <v/>
      </c>
      <c r="H17" s="4" t="n"/>
      <c r="I17" s="4" t="n"/>
      <c r="J17" s="4" t="n"/>
      <c r="K17" s="4" t="n"/>
      <c r="L17" s="4" t="n"/>
      <c r="M17" s="4" t="n"/>
      <c r="N17" s="3" t="inlineStr">
        <is>
          <t>Equivalente DIN 172 forma A di altro produttore per lo stesso dimensionamento preliminare: bussola a cappello in acciaio with bore interno 12 mm and lunghezza 20 mm.</t>
        </is>
      </c>
      <c r="O17" s="3" t="inlineStr">
        <is>
          <t>Exact SKU KIPP K1022.A1200X20. Prezzo and disponibilita verificati 2026-06-02: EUR 4.50 netto / EUR 5.36 IVA inclusa each, indicato disponibile with consegna 2-5 giorni. Qty 0: alternative standard da check dimensionalmente contro il disegno KIPP prima dell'ordine.</t>
        </is>
      </c>
      <c r="P17" s="4" t="inlineStr">
        <is>
          <t>Mechanical</t>
        </is>
      </c>
      <c r="Q17" s="4" t="inlineStr">
        <is>
          <t>https://www.normteile-leinigen.de/Bundbohrbuchse-12-x-20-DIN-172-Form-A/K1022.A1200X20</t>
        </is>
      </c>
      <c r="R17" s="4" t="inlineStr">
        <is>
          <t>Phase 1</t>
        </is>
      </c>
      <c r="S17" s="4" t="n"/>
      <c r="T17" s="4" t="n"/>
    </row>
    <row r="18" hidden="1">
      <c r="A18" s="3" t="inlineStr">
        <is>
          <t>[SCHEDA qty0] Elesa+Ganter DIN 172-B12-20-A - pagina tecnica TME</t>
        </is>
      </c>
      <c r="B18" s="4" t="inlineStr">
        <is>
          <t>TME</t>
        </is>
      </c>
      <c r="C18" s="5" t="n">
        <v>9.27</v>
      </c>
      <c r="D18" s="6" t="n">
        <v>0.22</v>
      </c>
      <c r="E18" s="5">
        <f>C18*D18</f>
        <v/>
      </c>
      <c r="F18" s="4" t="n">
        <v>0</v>
      </c>
      <c r="G18" s="5">
        <f>(C18+E18)*F18</f>
        <v/>
      </c>
      <c r="H18" s="4" t="n"/>
      <c r="I18" s="4" t="n"/>
      <c r="J18" s="4" t="n"/>
      <c r="K18" s="4" t="n"/>
      <c r="L18" s="4" t="n"/>
      <c r="M18" s="4" t="n"/>
      <c r="N18" s="3" t="inlineStr">
        <is>
          <t>Pagina tecnica di un ulteriore distributore per lo stesso cappello Ganter: acciaio temprato, bore interno 12 mm, esterno 18 mm, flangia 22 mm, lunghezza 20 mm.</t>
        </is>
      </c>
      <c r="O18" s="3" t="inlineStr">
        <is>
          <t>Exact SKU TME DIN172-B12-20-A. Verificato 2026-06-02: USD 10.04 about EUR 9.27 each, ma stock TME indicato zero. Tenerlo come catalogo tecnico and backup di richiesta disponibilita, non come fornitore primario immediato.</t>
        </is>
      </c>
      <c r="P18" s="4" t="inlineStr">
        <is>
          <t>Mechanical</t>
        </is>
      </c>
      <c r="Q18" s="4" t="inlineStr">
        <is>
          <t>https://www.tme.eu/en/details/din172-b12-20-a/indexing-plungers/elesa-ganter/din-172-b12-20-a/</t>
        </is>
      </c>
      <c r="R18" s="4" t="inlineStr">
        <is>
          <t>Phase 1</t>
        </is>
      </c>
      <c r="S18" s="4" t="n"/>
      <c r="T18" s="4" t="n"/>
    </row>
    <row r="19" hidden="1">
      <c r="A19" s="3" t="inlineStr">
        <is>
          <t>[ALT CUSTOM qty0] Bushing radente stampata 3D in igus iglidur i150</t>
        </is>
      </c>
      <c r="B19" s="4" t="inlineStr">
        <is>
          <t>igus / stampa interna</t>
        </is>
      </c>
      <c r="C19" s="5" t="n">
        <v>0</v>
      </c>
      <c r="D19" s="6" t="n">
        <v>0.22</v>
      </c>
      <c r="E19" s="5">
        <f>C19*D19</f>
        <v/>
      </c>
      <c r="F19" s="4" t="n">
        <v>0</v>
      </c>
      <c r="G19" s="5">
        <f>(C19+E19)*F19</f>
        <v/>
      </c>
      <c r="H19" s="4" t="n"/>
      <c r="I19" s="4" t="n"/>
      <c r="J19" s="4" t="n"/>
      <c r="K19" s="4" t="n"/>
      <c r="L19" s="4" t="n"/>
      <c r="M19" s="4" t="n"/>
      <c r="N19" s="3" t="inlineStr">
        <is>
          <t>Primo provino custom stampabile per gli assi diametro 12 mm del giunto foot-shin. Permette di iterare lunghezza, flangia and gioco. i150 and il tribofilamento igus piu facile da processare.</t>
        </is>
      </c>
      <c r="O19" s="3" t="inlineStr">
        <is>
          <t>Materiale confermato tra quelli che l'utente sta acquistando per confronto. Qty 0: non and ancora la scelta finale. Validare pressione superficiale, usura, orientamento di stampa, finitura del pin, tolleranze and gioco; non assumere automaticamente equivalenza with Q2 stampato a iniezione o SKF metallo/PTFE.</t>
        </is>
      </c>
      <c r="P19" s="4" t="inlineStr">
        <is>
          <t>Mechanical</t>
        </is>
      </c>
      <c r="Q19" s="4" t="inlineStr">
        <is>
          <t>https://www.igus.eu/product/iglidur_I150_PF</t>
        </is>
      </c>
      <c r="R19" s="4" t="inlineStr">
        <is>
          <t>Phase 1</t>
        </is>
      </c>
      <c r="S19" s="4" t="n"/>
      <c r="T19" s="4" t="n"/>
    </row>
    <row r="20" hidden="1">
      <c r="A20" s="3" t="inlineStr">
        <is>
          <t>[ALT CUSTOM qty0] Bushing radente stampata 3D in igus iglidur i190</t>
        </is>
      </c>
      <c r="B20" s="4" t="inlineStr">
        <is>
          <t>igus / stampa interna</t>
        </is>
      </c>
      <c r="C20" s="5" t="n">
        <v>0</v>
      </c>
      <c r="D20" s="6" t="n">
        <v>0.22</v>
      </c>
      <c r="E20" s="5">
        <f>C20*D20</f>
        <v/>
      </c>
      <c r="F20" s="4" t="n">
        <v>0</v>
      </c>
      <c r="G20" s="5">
        <f>(C20+E20)*F20</f>
        <v/>
      </c>
      <c r="H20" s="4" t="n"/>
      <c r="I20" s="4" t="n"/>
      <c r="J20" s="4" t="n"/>
      <c r="K20" s="4" t="n"/>
      <c r="L20" s="4" t="n"/>
      <c r="M20" s="4" t="n"/>
      <c r="N20" s="3" t="inlineStr">
        <is>
          <t>Secondo provino custom stampabile per gli assi diametro 12 mm del giunto foot-shin. i190 and il candidato da confrontare quando servono maggiore resistenza meccanica and resistenza all'usura.</t>
        </is>
      </c>
      <c r="O20" s="3" t="inlineStr">
        <is>
          <t>Materiale confermato tra quelli che l'utente sta acquistando per confronto. Qty 0: non and ancora la scelta finale. Il filamento and sensibile all'umidita: seguire essiccazione and istruzioni igus. Validare pressione superficiale, usura, orientamento, tolleranze and gioco.</t>
        </is>
      </c>
      <c r="P20" s="4" t="inlineStr">
        <is>
          <t>Mechanical</t>
        </is>
      </c>
      <c r="Q20" s="4" t="inlineStr">
        <is>
          <t>https://www.igus.eu/product/iglidur_I190_PF</t>
        </is>
      </c>
      <c r="R20" s="4" t="inlineStr">
        <is>
          <t>Phase 1</t>
        </is>
      </c>
      <c r="S20" s="4" t="n"/>
      <c r="T20" s="4" t="n"/>
    </row>
    <row r="21" hidden="1">
      <c r="A21" s="3" t="inlineStr">
        <is>
          <t>[SELECTED PRIMARIO qty0] Bushing STAMPATA multimateriale J260+PA-CF integrale (radiale + flangia assiale)</t>
        </is>
      </c>
      <c r="B21" s="4" t="inlineStr">
        <is>
          <t>igus / stampa interna</t>
        </is>
      </c>
      <c r="C21" s="5" t="n">
        <v>0</v>
      </c>
      <c r="D21" s="6" t="n">
        <v>0.22</v>
      </c>
      <c r="E21" s="5">
        <f>C21*D21</f>
        <v/>
      </c>
      <c r="F21" s="4" t="n">
        <v>0</v>
      </c>
      <c r="G21" s="5">
        <f>(C21+E21)*F21</f>
        <v/>
      </c>
      <c r="H21" s="4" t="n"/>
      <c r="I21" s="4" t="n"/>
      <c r="J21" s="4" t="n"/>
      <c r="K21" s="4" t="n"/>
      <c r="L21" s="4" t="n"/>
      <c r="M21" s="4" t="n"/>
      <c r="N21" s="3" t="inlineStr">
        <is>
          <t>Approccio PRIMARIO selected: stampare la bushing direttamente integrale al pezzo mobile PA-CF in FDM multimateriale, with J260 sia sul bore (radiale) sia sulle facce di flangia (assiale). Nessun acquisto se la stampa regge.</t>
        </is>
      </c>
      <c r="O21" s="3" t="inlineStr">
        <is>
          <t>Filamento J260-PF gia acquistato dall'utente. igus indica estrusione ~280 C, piano ~120 C, preferibile camera riscaldata. To validate in modo specifico: adesione all'interfaccia J260/PA-CF (rischio principale del multimateriale), orientamento di stampa per roundness and usura del bore, finitura and Ø reale (prevedere alesatura/taratura), pressione superficiale, gioco. Qty 0: gestita dal filamento, non da uno SKU. i150 and i190 restano provini di confronto.</t>
        </is>
      </c>
      <c r="P21" s="4" t="inlineStr">
        <is>
          <t>Mechanical</t>
        </is>
      </c>
      <c r="Q21" s="4" t="inlineStr">
        <is>
          <t>https://www.igus.eu/product/716</t>
        </is>
      </c>
      <c r="R21" s="4" t="inlineStr">
        <is>
          <t>Phase 1</t>
        </is>
      </c>
      <c r="S21" s="4" t="n"/>
      <c r="T21" s="4" t="n"/>
    </row>
    <row r="22" hidden="1">
      <c r="A22" s="3" t="inlineStr">
        <is>
          <t>[SELECTED FALLBACK qty0] Bushing flangiata igus GFM-1214 (iglidur G) - radiale + assiale, acquistabile</t>
        </is>
      </c>
      <c r="B22" s="4" t="inlineStr">
        <is>
          <t>igus / RS / Misumi / Minetti</t>
        </is>
      </c>
      <c r="C22" s="5" t="n">
        <v>0</v>
      </c>
      <c r="D22" s="6" t="n">
        <v>0.22</v>
      </c>
      <c r="E22" s="5">
        <f>C22*D22</f>
        <v/>
      </c>
      <c r="F22" s="4" t="n">
        <v>0</v>
      </c>
      <c r="G22" s="5">
        <f>(C22+E22)*F22</f>
        <v/>
      </c>
      <c r="H22" s="4" t="n"/>
      <c r="I22" s="4" t="n"/>
      <c r="J22" s="4" t="n"/>
      <c r="K22" s="4" t="n"/>
      <c r="L22" s="4" t="n"/>
      <c r="M22" s="4" t="n"/>
      <c r="N22" s="3" t="inlineStr">
        <is>
          <t>Versione ACQUISTATA della bushing flangiata, fallback se la stampa multimateriale J260 non regge: bore 12, esterno 14, flangia about 20 x 1. La flangia fa l'assiale; due per axis, flange verso l'esterno, piantate a pressione nel pezzo mobile. Drop-in stesse quote: Q2FM-1214 (heavy-duty urti/sporco), JFM-1214 (basso attrito).</t>
        </is>
      </c>
      <c r="O22" s="3" t="inlineStr">
        <is>
          <t>Famiglia SKU GFM-1214 iglidur G. Lunghezza b1 dal CAD (es. due da 9-10 mm in un mobile da 20 mm). Fornitori multipli verificati 2026-06-03: igus diretto, RS, Misumi IT, Minetti, F.lli Bono, Solema, ERIKS. Qty 0 finche il CAD non da le lunghezze; quantity attesa 8 (2 per axis x 4 assi) solo se si comprano invece di stamparle. Ritegno: interferenza nella sede + flangia di battuta; mai cianoacrilato, al limite Loctite 603/638. Prezzo da check a configurazione lunghezza.</t>
        </is>
      </c>
      <c r="P22" s="4" t="inlineStr">
        <is>
          <t>Mechanical</t>
        </is>
      </c>
      <c r="Q22" s="4" t="inlineStr">
        <is>
          <t>https://www.igus.eu/iglide-ibh/flanged-bearings/product-details/iglidur-g-m</t>
        </is>
      </c>
      <c r="R22" s="4" t="inlineStr">
        <is>
          <t>Phase 1</t>
        </is>
      </c>
      <c r="S22" s="4" t="n"/>
      <c r="T22" s="4" t="n"/>
    </row>
    <row r="23" hidden="1">
      <c r="A23" s="3" t="inlineStr">
        <is>
          <t>[SECOND SOURCE qty0] AliExpress black shoulder screw listing - old backup source for shoulder screws</t>
        </is>
      </c>
      <c r="B23" s="4" t="inlineStr">
        <is>
          <t>AliExpress</t>
        </is>
      </c>
      <c r="C23" s="5" t="n">
        <v>3</v>
      </c>
      <c r="D23" s="6" t="n">
        <v>0.22</v>
      </c>
      <c r="E23" s="5">
        <f>C23*D23</f>
        <v/>
      </c>
      <c r="F23" s="4" t="n">
        <v>0</v>
      </c>
      <c r="G23" s="5">
        <f>(C23+E23)*F23</f>
        <v/>
      </c>
      <c r="H23" s="4" t="n"/>
      <c r="I23" s="4" t="n"/>
      <c r="J23" s="4" t="n"/>
      <c r="K23" s="4" t="n"/>
      <c r="L23" s="4" t="n"/>
      <c r="M23" s="4" t="n"/>
      <c r="N23" s="3" t="inlineStr">
        <is>
          <t>Backup purchase listing for black shoulder screws. The current first choice is the newer AliExpress listing in the active Ø8/M6 rows below.</t>
        </is>
      </c>
      <c r="O23" s="3" t="inlineStr">
        <is>
          <t>Kept as second source only. Do not use the old Ø12/M10 ankle-axis assumption for the current CAD unless the ankle is deliberately redesigned around Ø12 pins again.</t>
        </is>
      </c>
      <c r="P23" s="4" t="inlineStr">
        <is>
          <t>Mechanical</t>
        </is>
      </c>
      <c r="Q23" s="4" t="inlineStr">
        <is>
          <t>https://it.aliexpress.com/item/1005007481484485.html</t>
        </is>
      </c>
      <c r="R23" s="4" t="inlineStr">
        <is>
          <t>Phase 1</t>
        </is>
      </c>
      <c r="S23" s="4" t="n"/>
      <c r="T23" s="4" t="n"/>
    </row>
    <row r="24" hidden="1">
      <c r="A24" s="3" t="inlineStr">
        <is>
          <t>[CATALOGO qty0] RS PRO 822-9316 - shoulder screw M10, spallamento diam. 12 x 20 mm</t>
        </is>
      </c>
      <c r="B24" s="4" t="inlineStr">
        <is>
          <t>RS Italia</t>
        </is>
      </c>
      <c r="C24" s="5" t="n">
        <v>7.928</v>
      </c>
      <c r="D24" s="6" t="n">
        <v>0.22</v>
      </c>
      <c r="E24" s="5">
        <f>C24*D24</f>
        <v/>
      </c>
      <c r="F24" s="4" t="n">
        <v>0</v>
      </c>
      <c r="G24" s="5">
        <f>(C24+E24)*F24</f>
        <v/>
      </c>
      <c r="H24" s="4" t="n"/>
      <c r="I24" s="4" t="n"/>
      <c r="J24" s="4" t="n"/>
      <c r="K24" s="4" t="n"/>
      <c r="L24" s="4" t="n"/>
      <c r="M24" s="4" t="n"/>
      <c r="N24" s="3" t="inlineStr">
        <is>
          <t>Esempio industriale acquistabile di vite a spallamento: filetto M10, diametro spallamento 12 mm, lunghezza spallamento 20 mm, acciaio nero classe 12.9.</t>
        </is>
      </c>
      <c r="O24" s="3" t="inlineStr">
        <is>
          <t>Exact SKU RS PRO 822-9316. Price checked 2026-06-02: EUR 31.71 netto per sacchetto da quattro, EUR 7.928 each. Qty 0: la lunghezza 20 mm and solo un reference di catalogo; scegliere la lunghezza effettiva dopo il CAD.</t>
        </is>
      </c>
      <c r="P24" s="4" t="inlineStr">
        <is>
          <t>Mechanical</t>
        </is>
      </c>
      <c r="Q24" s="4" t="inlineStr">
        <is>
          <t>https://it.rs-online.com/web/p/viti-a-colletto/8229316</t>
        </is>
      </c>
      <c r="R24" s="4" t="inlineStr">
        <is>
          <t>Phase 1</t>
        </is>
      </c>
      <c r="S24" s="4" t="n"/>
      <c r="T24" s="4" t="n"/>
    </row>
    <row r="25" hidden="1">
      <c r="A25" s="3" t="inlineStr">
        <is>
          <t>[ALT qty0] RS PRO 292-417 - shoulder screw ISO 7379 M10, gambo Ø12 x 60 mm (alternative industriale al nero AliExpress)</t>
        </is>
      </c>
      <c r="B25" s="4" t="inlineStr">
        <is>
          <t>RS Italia</t>
        </is>
      </c>
      <c r="C25" s="5" t="n">
        <v>7.905</v>
      </c>
      <c r="D25" s="6" t="n">
        <v>0.22</v>
      </c>
      <c r="E25" s="5">
        <f>C25*D25</f>
        <v/>
      </c>
      <c r="F25" s="4" t="n">
        <v>0</v>
      </c>
      <c r="G25" s="5">
        <f>(C25+E25)*F25</f>
        <v/>
      </c>
      <c r="H25" s="4" t="n"/>
      <c r="I25" s="4" t="n"/>
      <c r="J25" s="4" t="n"/>
      <c r="K25" s="4" t="n"/>
      <c r="L25" s="4" t="n"/>
      <c r="M25" s="4" t="n"/>
      <c r="N25" s="3" t="inlineStr">
        <is>
          <t>Reference vicino al primo pacco CAD ankle about 60 mm: vite ISO 7379 with tratto liscio diametro 12 mm lungo 60 mm, filetto M10 x 16 mm, testa diametro 18 x 8 mm, lunghezza totale 84 mm.</t>
        </is>
      </c>
      <c r="O25" s="3" t="inlineStr">
        <is>
          <t>Exact SKU RS PRO 292-417, ISO 7379 gambo Ø12 x 60, filetto M10 x 16, testa Ø18 x 8. ALTERNATIVA industriale (il pin selected e' ora la shoulder screw nera AliExpress Ø12xM10): fa da pista su cui scorre l'igus and da ritegno. Reso solidale alle orecchie dal serraggio (nut M10 + Loctite 243), non da piantaggio; fit gambo-bore orecchia scorrevole-bloccato (snug), no interferenza forte nel PA-CF. Expected qty 4 (un axis ciascuno) + scorte, ma qty 0 finche il CAD non fissa la lunghezza colletto (~60-70). Fornitori alternativi ISO 7379-12-M10: Rubix GN.35185, Elesa, Puntoviti, Berardi, KIPP.</t>
        </is>
      </c>
      <c r="P25" s="4" t="inlineStr">
        <is>
          <t>Mechanical</t>
        </is>
      </c>
      <c r="Q25" s="4" t="inlineStr">
        <is>
          <t>https://it.rs-online.com/web/p/viti-a-colletto/0292417</t>
        </is>
      </c>
      <c r="R25" s="4" t="inlineStr">
        <is>
          <t>Phase 1</t>
        </is>
      </c>
      <c r="S25" s="4" t="n"/>
      <c r="T25" s="4" t="n"/>
    </row>
    <row r="26" hidden="1">
      <c r="A26" s="3" t="inlineStr">
        <is>
          <t>[CATALOGO qty0] Motedis 12h6 - albero precisione diam. 12 mm h6 temprato and rettificato</t>
        </is>
      </c>
      <c r="B26" s="4" t="inlineStr">
        <is>
          <t>Motedis</t>
        </is>
      </c>
      <c r="C26" s="5" t="n">
        <v>0</v>
      </c>
      <c r="D26" s="6" t="n">
        <v>0.22</v>
      </c>
      <c r="E26" s="5">
        <f>C26*D26</f>
        <v/>
      </c>
      <c r="F26" s="4" t="n">
        <v>0</v>
      </c>
      <c r="G26" s="5">
        <f>(C26+E26)*F26</f>
        <v/>
      </c>
      <c r="H26" s="4" t="n"/>
      <c r="I26" s="4" t="n"/>
      <c r="J26" s="4" t="n"/>
      <c r="K26" s="4" t="n"/>
      <c r="L26" s="4" t="n"/>
      <c r="M26" s="4" t="n"/>
      <c r="N26" s="3" t="inlineStr">
        <is>
          <t>Alternative da tagliare a misura quando serve un pin fisso cilindrico without testa. Utile anche come pista temprata and rettificata se si valuta un bearing HK privo di anello interno.</t>
        </is>
      </c>
      <c r="O26" s="3" t="inlineStr">
        <is>
          <t>Codice prodotto Motedis 12h6. Qty 0: prezzo dipendente dalla lunghezza di taglio. Definire lunghezza and ritegno; non sostituisce automaticamente una vite a spallamento.</t>
        </is>
      </c>
      <c r="P26" s="4" t="inlineStr">
        <is>
          <t>Mechanical</t>
        </is>
      </c>
      <c r="Q26" s="4" t="inlineStr">
        <is>
          <t>https://www.motedis.it/it/Albero-di-precisione-12-mm-h6-acciaio-temprato-e-rettificato</t>
        </is>
      </c>
      <c r="R26" s="4" t="inlineStr">
        <is>
          <t>Phase 1</t>
        </is>
      </c>
      <c r="S26" s="4" t="n"/>
      <c r="T26" s="4" t="n"/>
    </row>
    <row r="27" hidden="1">
      <c r="A27" s="3" t="inlineStr">
        <is>
          <t>[CATALOGO qty0] Wurth DIN 6325 / ISO 8734 - spina cilindrica temprata diam. 12 mm</t>
        </is>
      </c>
      <c r="B27" s="4" t="inlineStr">
        <is>
          <t>Wurth</t>
        </is>
      </c>
      <c r="C27" s="5" t="n">
        <v>0</v>
      </c>
      <c r="D27" s="6" t="n">
        <v>0.22</v>
      </c>
      <c r="E27" s="5">
        <f>C27*D27</f>
        <v/>
      </c>
      <c r="F27" s="4" t="n">
        <v>0</v>
      </c>
      <c r="G27" s="5">
        <f>(C27+E27)*F27</f>
        <v/>
      </c>
      <c r="H27" s="4" t="n"/>
      <c r="I27" s="4" t="n"/>
      <c r="J27" s="4" t="n"/>
      <c r="K27" s="4" t="n"/>
      <c r="L27" s="4" t="n"/>
      <c r="M27" s="4" t="n"/>
      <c r="N27" s="3" t="inlineStr">
        <is>
          <t>Famiglia industriale di spine cilindriche temprate and rettificate, tolleranza m6. La pagina collegata mostra l'esempio diametro 12 x 20 mm; la famiglia offre altre lunghezze.</t>
        </is>
      </c>
      <c r="O27" s="3" t="inlineStr">
        <is>
          <t>Catalogo utile al CAD, qty 0. Wurth segnala che DIN 6325 and stata sostituita da DIN EN ISO 8734. Non scegliere 20 mm solo perche and la variante collegata: misurare prima la larghezza dell'assieme and progettare il ritegno.</t>
        </is>
      </c>
      <c r="P27" s="4" t="inlineStr">
        <is>
          <t>Mechanical</t>
        </is>
      </c>
      <c r="Q27" s="4" t="inlineStr">
        <is>
          <t>https://eshop.wurth.fr/Goupille-cylindrique-DIN-6325-acier-brut-GOUPILLE-CYL-DIN6325-M6-12X20/025201220.sku/fr/FR/EUR/</t>
        </is>
      </c>
      <c r="R27" s="4" t="inlineStr">
        <is>
          <t>Phase 1</t>
        </is>
      </c>
      <c r="S27" s="4" t="n"/>
      <c r="T27" s="4" t="n"/>
    </row>
    <row r="28" hidden="1">
      <c r="A28" s="3" t="inlineStr">
        <is>
          <t>[TO SIZE qty0] Ritegni pins and supporti ankle joint</t>
        </is>
      </c>
      <c r="B28" s="4" t="inlineStr">
        <is>
          <t>Amazon / Ruland / piastrina custom</t>
        </is>
      </c>
      <c r="C28" s="5" t="n">
        <v>0</v>
      </c>
      <c r="D28" s="6" t="n">
        <v>0.22</v>
      </c>
      <c r="E28" s="5">
        <f>C28*D28</f>
        <v/>
      </c>
      <c r="F28" s="4" t="n">
        <v>0</v>
      </c>
      <c r="G28" s="5">
        <f>(C28+E28)*F28</f>
        <v/>
      </c>
      <c r="H28" s="4" t="n"/>
      <c r="I28" s="4" t="n"/>
      <c r="J28" s="4" t="n"/>
      <c r="K28" s="4" t="n"/>
      <c r="L28" s="4" t="n"/>
      <c r="M28" s="4" t="n"/>
      <c r="N28" s="3" t="inlineStr">
        <is>
          <t>Ritegni smontabili dei due assi di rotazione del giunto foot-shin.</t>
        </is>
      </c>
      <c r="O28" s="3" t="inlineStr">
        <is>
          <t>Ripristinato il catalogo storico: assortimento seeger interni/esterni. Prevedere spallamento stampato o inserto metallico da un lato and ritegno rimovibile dall'altro. Non assumere nut M10, seeger, collare o piastrina prima del CAD: il sistema dipende dal tipo di pin and dalle sedi effettive.</t>
        </is>
      </c>
      <c r="P28" s="4" t="inlineStr">
        <is>
          <t>Mechanical</t>
        </is>
      </c>
      <c r="Q28" s="4" t="inlineStr">
        <is>
          <t>https://www.amazon.it/ANELLI-ELASTICI-INTERNI-ESTERNI-ASSORTITI/dp/B09CZKWD5J</t>
        </is>
      </c>
      <c r="R28" s="4" t="inlineStr">
        <is>
          <t>Phase 1</t>
        </is>
      </c>
      <c r="S28" s="4" t="n"/>
      <c r="T28" s="4" t="n"/>
    </row>
    <row r="29" hidden="1">
      <c r="A29" s="3" t="inlineStr">
        <is>
          <t>[SELECTED RITEGNO qty0] Lock nut M10 NERO DIN 985 + Loctite 243 - serra assi Ø12xM10 (ankle + cardano waist)</t>
        </is>
      </c>
      <c r="B29" s="4" t="inlineStr">
        <is>
          <t>Amazon / AliExpress</t>
        </is>
      </c>
      <c r="C29" s="5" t="n">
        <v>0.3</v>
      </c>
      <c r="D29" s="6" t="n">
        <v>0.22</v>
      </c>
      <c r="E29" s="5">
        <f>C29*D29</f>
        <v/>
      </c>
      <c r="F29" s="4" t="n">
        <v>0</v>
      </c>
      <c r="G29" s="5">
        <f>(C29+E29)*F29</f>
        <v/>
      </c>
      <c r="H29" s="4" t="n"/>
      <c r="I29" s="4" t="n"/>
      <c r="J29" s="4" t="n"/>
      <c r="K29" s="4" t="n"/>
      <c r="L29" s="4" t="n"/>
      <c r="M29" s="4" t="n"/>
      <c r="N29" s="3" t="inlineStr">
        <is>
          <t>Ritegno terminale degli assi rotazione Ø12xM10: il nut M10 serra il filetto della shoulder screw and la rende solidale alle orecchie (4 assi ankle + 2 cardano waist).</t>
        </is>
      </c>
      <c r="O29" s="3" t="inlineStr">
        <is>
          <t>Ritegno SELECTED: nut autobloccante M10 NERO (DIN 985, set nylock M3-M16) + Loctite 243. Expected qty 6 (4 ankle + 2 cardano waist) + scorte; qty 0 fino a CAD. Variante pulita: filettare in un inserto metallico annegato nell'orecchia lontana, cosi il serraggio reagisce su metallo and non comprime il PA-CF.</t>
        </is>
      </c>
      <c r="P29" s="4" t="inlineStr">
        <is>
          <t>Mechanical</t>
        </is>
      </c>
      <c r="Q29" s="4" t="inlineStr">
        <is>
          <t>https://www.amazon.it/Acciaio-Controdado-Esagonale-Inserto-Autobloccante/dp/B0C8ZCR6B1</t>
        </is>
      </c>
      <c r="R29" s="4" t="inlineStr">
        <is>
          <t>Phase 1</t>
        </is>
      </c>
      <c r="S29" s="4" t="n"/>
      <c r="T29" s="4" t="n"/>
    </row>
    <row r="30">
      <c r="A30" s="7" t="inlineStr">
        <is>
          <t>M6 nuts for Ø8/M6 shoulder screws - ankle gimbal + pushrod pivots</t>
        </is>
      </c>
      <c r="B30" s="8" t="inlineStr">
        <is>
          <t>Amazon / AliExpress</t>
        </is>
      </c>
      <c r="C30" s="9" t="n">
        <v>0.2</v>
      </c>
      <c r="D30" s="10" t="n">
        <v>0.22</v>
      </c>
      <c r="E30" s="9">
        <f>C30*D30</f>
        <v/>
      </c>
      <c r="F30" s="8" t="n">
        <v>6</v>
      </c>
      <c r="G30" s="9">
        <f>(C30+E30)*F30</f>
        <v/>
      </c>
      <c r="H30" s="8" t="n"/>
      <c r="I30" s="8" t="n"/>
      <c r="J30" s="8" t="n"/>
      <c r="K30" s="8" t="n"/>
      <c r="L30" s="8" t="n"/>
      <c r="M30" s="8" t="n"/>
      <c r="N30" s="7" t="inlineStr">
        <is>
          <t>Six standard M6 nuts for the selected Ø8/M6 shoulder screws: 2 nuts for the 45 mm ankle gimbal screws and 4 nuts for the 16 mm pushrod rod-end pivot screws. Geometry to reserve in CAD: M6 hex across flats 10 mm, circumscribed hex diameter about 11.55 mm; normal M6 locknut height is about 6 mm.</t>
        </is>
      </c>
      <c r="O30" s="7" t="inlineStr">
        <is>
          <t>These M6 nuts retain the shoulder screws only; they are not the pushrod length-adjustment jam nuts. Use locknuts or standard M6 nuts with Loctite 243 after checking that the shoulder, not the threaded section, defines the working width. The nut must clamp the screw stack without crushing the rod-end spherical bearing.</t>
        </is>
      </c>
      <c r="P30" s="8" t="inlineStr">
        <is>
          <t>Mechanical</t>
        </is>
      </c>
      <c r="Q30" s="11" t="inlineStr">
        <is>
          <t>https://www.amazon.it/Acciaio-Controdado-Esagonale-Inserto-Autobloccante/dp/B0C8ZCR6B1</t>
        </is>
      </c>
      <c r="R30" s="8" t="inlineStr">
        <is>
          <t>Phase 1</t>
        </is>
      </c>
      <c r="S30" s="8" t="n"/>
      <c r="T30" s="8" t="n"/>
    </row>
    <row r="31" hidden="1">
      <c r="A31" s="3" t="inlineStr">
        <is>
          <t>[CATALOGO qty0] RS PRO 797-6254 - rondella larga M10 DIN 9021 inox, 10.5x30x2.5 mm</t>
        </is>
      </c>
      <c r="B31" s="4" t="inlineStr">
        <is>
          <t>RS Italia</t>
        </is>
      </c>
      <c r="C31" s="5" t="n">
        <v>0</v>
      </c>
      <c r="D31" s="6" t="n">
        <v>0.22</v>
      </c>
      <c r="E31" s="5">
        <f>C31*D31</f>
        <v/>
      </c>
      <c r="F31" s="4" t="n">
        <v>0</v>
      </c>
      <c r="G31" s="5">
        <f>(C31+E31)*F31</f>
        <v/>
      </c>
      <c r="H31" s="4" t="n"/>
      <c r="I31" s="4" t="n"/>
      <c r="J31" s="4" t="n"/>
      <c r="K31" s="4" t="n"/>
      <c r="L31" s="4" t="n"/>
      <c r="M31" s="4" t="n"/>
      <c r="N31" s="3" t="inlineStr">
        <is>
          <t>Rondella larga da valutare sotto testa and nut della vite a spallamento per distribuire il serraggio sulle superfici esterne delle orecchie PA-CF.</t>
        </is>
      </c>
      <c r="O31" s="3" t="inlineStr">
        <is>
          <t>Exact SKU RS PRO 797-6254: bore 10.5 mm, esterno 30 mm, spessore 2.5 mm, inox A2, DIN 9021. Qty 0: check spazio and quantity dopo CAD. Non usare il serraggio per flettere significativamente le orecchie: il pin and tenuto dal serraggio assiale a quota rated.</t>
        </is>
      </c>
      <c r="P31" s="4" t="inlineStr">
        <is>
          <t>Mechanical</t>
        </is>
      </c>
      <c r="Q31" s="4" t="inlineStr">
        <is>
          <t>https://it.rs-online.com/web/p/rondelle/7976254</t>
        </is>
      </c>
      <c r="R31" s="4" t="inlineStr">
        <is>
          <t>Phase 1</t>
        </is>
      </c>
      <c r="S31" s="4" t="n"/>
      <c r="T31" s="4" t="n"/>
    </row>
    <row r="32" hidden="1">
      <c r="A32" s="3" t="inlineStr">
        <is>
          <t>[CATALOGO qty0] Ruland MSP-12-F - collare split smontabile per pin diam. 12 mm</t>
        </is>
      </c>
      <c r="B32" s="4" t="inlineStr">
        <is>
          <t>Ruland</t>
        </is>
      </c>
      <c r="C32" s="5" t="n">
        <v>8.65</v>
      </c>
      <c r="D32" s="6" t="n">
        <v>0.22</v>
      </c>
      <c r="E32" s="5">
        <f>C32*D32</f>
        <v/>
      </c>
      <c r="F32" s="4" t="n">
        <v>0</v>
      </c>
      <c r="G32" s="5">
        <f>(C32+E32)*F32</f>
        <v/>
      </c>
      <c r="H32" s="4" t="n"/>
      <c r="I32" s="4" t="n"/>
      <c r="J32" s="4" t="n"/>
      <c r="K32" s="4" t="n"/>
      <c r="L32" s="4" t="n"/>
      <c r="M32" s="4" t="n"/>
      <c r="N32" s="3" t="inlineStr">
        <is>
          <t>Collare in due pcs per ritegno o registro assiale di un pin cilindrico diametro 12 mm quando lo spazio esterno lo consente. Diametro esterno 28 mm, larghezza 11 mm.</t>
        </is>
      </c>
      <c r="O32" s="3" t="inlineStr">
        <is>
          <t>Exact SKU MSP-12-F. Price checked 2026-06-02: USD 9.39 about EUR 8.65. Qty 0: and un reference acquistabile, non la scelta automatica; check ingombro esterno and carichi assiali.</t>
        </is>
      </c>
      <c r="P32" s="4" t="inlineStr">
        <is>
          <t>Mechanical</t>
        </is>
      </c>
      <c r="Q32" s="4" t="inlineStr">
        <is>
          <t>https://www.ruland.com/msp-12-f.html</t>
        </is>
      </c>
      <c r="R32" s="4" t="inlineStr">
        <is>
          <t>Phase 1</t>
        </is>
      </c>
      <c r="S32" s="4" t="n"/>
      <c r="T32" s="4" t="n"/>
    </row>
    <row r="33">
      <c r="A33" s="7" t="inlineStr">
        <is>
          <t>AliExpress adjustable aluminum M8 pushrod - 140 mm ankle link</t>
        </is>
      </c>
      <c r="B33" s="8" t="inlineStr">
        <is>
          <t>AliExpress</t>
        </is>
      </c>
      <c r="C33" s="9" t="n">
        <v>7</v>
      </c>
      <c r="D33" s="10" t="n">
        <v>0.22</v>
      </c>
      <c r="E33" s="9">
        <f>C33*D33</f>
        <v/>
      </c>
      <c r="F33" s="8" t="n">
        <v>2</v>
      </c>
      <c r="G33" s="9">
        <f>(C33+E33)*F33</f>
        <v/>
      </c>
      <c r="H33" s="8" t="n"/>
      <c r="I33" s="8" t="n"/>
      <c r="J33" s="8" t="n"/>
      <c r="K33" s="8" t="n"/>
      <c r="L33" s="8" t="n"/>
      <c r="M33" s="8" t="n"/>
      <c r="N33" s="7" t="inlineStr">
        <is>
          <t>Adjustable aluminum M8 pushrod/link for the parallel/differential ankle. Selected long variant: 140 mm. CAD body mass estimate: 23.8 g each, excluding the separately listed igubal ends and M8 jam nuts.</t>
        </is>
      </c>
      <c r="O33" s="7" t="inlineStr">
        <is>
          <t>Length-dependent estimate, not the incorrect former generic 90 g: 6061-class aluminium tube assumed OD 12 mm, ID 8 mm, density 2.70 g/cm3 gives 0.1696 g/mm x 140 mm = 23.8 g. Confirm the delivered tube OD/ID and whether the advertised 140 mm is body length or eye-to-eye, then replace this estimate with a scale measurement. Turnbuckle adjustment requires one M8 RH and one M8 LH end.</t>
        </is>
      </c>
      <c r="P33" s="8" t="inlineStr">
        <is>
          <t>Mechanical</t>
        </is>
      </c>
      <c r="Q33" s="11" t="inlineStr">
        <is>
          <t>https://it.aliexpress.com/item/1005008935554718.html</t>
        </is>
      </c>
      <c r="R33" s="8" t="inlineStr">
        <is>
          <t>Phase 1</t>
        </is>
      </c>
      <c r="S33" s="12" t="n">
        <v>0.048</v>
      </c>
      <c r="T33" s="8" t="n"/>
    </row>
    <row r="34">
      <c r="A34" s="7" t="inlineStr">
        <is>
          <t>AliExpress adjustable aluminum M8 pushrod - 40 mm ankle link</t>
        </is>
      </c>
      <c r="B34" s="8" t="inlineStr">
        <is>
          <t>AliExpress</t>
        </is>
      </c>
      <c r="C34" s="9" t="n">
        <v>7</v>
      </c>
      <c r="D34" s="10" t="n">
        <v>0.22</v>
      </c>
      <c r="E34" s="9">
        <f>C34*D34</f>
        <v/>
      </c>
      <c r="F34" s="8" t="n">
        <v>2</v>
      </c>
      <c r="G34" s="9">
        <f>(C34+E34)*F34</f>
        <v/>
      </c>
      <c r="H34" s="8" t="n"/>
      <c r="I34" s="8" t="n"/>
      <c r="J34" s="8" t="n"/>
      <c r="K34" s="8" t="n"/>
      <c r="L34" s="8" t="n"/>
      <c r="M34" s="8" t="n"/>
      <c r="N34" s="7" t="inlineStr">
        <is>
          <t>Adjustable aluminum M8 pushrod/link for the parallel/differential ankle. Selected short variant: 40 mm. CAD body mass estimate: 6.8 g each, excluding the separately listed igubal ends and M8 jam nuts.</t>
        </is>
      </c>
      <c r="O34" s="7" t="inlineStr">
        <is>
          <t>Length-dependent estimate, not the incorrect former generic 90 g: same assumed OD 12 mm / ID 8 mm 6061-class aluminium tube gives 0.1696 g/mm x 40 mm = 6.8 g. Confirm delivered geometry and enough thread engagement/misalignment margin, then replace with a scale measurement. The selected spherical ends are separate igus RH/LH M8 rows.</t>
        </is>
      </c>
      <c r="P34" s="8" t="inlineStr">
        <is>
          <t>Mechanical</t>
        </is>
      </c>
      <c r="Q34" s="11" t="inlineStr">
        <is>
          <t>https://it.aliexpress.com/item/1005008935554718.html</t>
        </is>
      </c>
      <c r="R34" s="8" t="inlineStr">
        <is>
          <t>Phase 1</t>
        </is>
      </c>
      <c r="S34" s="12" t="n">
        <v>0.014</v>
      </c>
      <c r="T34" s="8" t="n"/>
    </row>
    <row r="35" hidden="1">
      <c r="A35" s="3" t="inlineStr">
        <is>
          <t>[ALT qty0] Testa a snodo SKF SA8E M8 destra, bore 8 mm</t>
        </is>
      </c>
      <c r="B35" s="4" t="inlineStr">
        <is>
          <t>SKF</t>
        </is>
      </c>
      <c r="C35" s="5" t="n">
        <v>8</v>
      </c>
      <c r="D35" s="6" t="n">
        <v>0.22</v>
      </c>
      <c r="E35" s="5">
        <f>C35*D35</f>
        <v/>
      </c>
      <c r="F35" s="4" t="n">
        <v>0</v>
      </c>
      <c r="G35" s="5">
        <f>(C35+E35)*F35</f>
        <v/>
      </c>
      <c r="H35" s="4" t="n"/>
      <c r="I35" s="4" t="n"/>
      <c r="J35" s="4" t="n"/>
      <c r="K35" s="4" t="n"/>
      <c r="L35" s="4" t="n"/>
      <c r="M35" s="4" t="n"/>
      <c r="N35" s="3" t="inlineStr">
        <is>
          <t>Upgrade di precisione lato piede.</t>
        </is>
      </c>
      <c r="O35" s="3" t="inlineStr">
        <is>
          <t>Usare insieme a SAL8E and tubo tenditore.</t>
        </is>
      </c>
      <c r="P35" s="4" t="inlineStr">
        <is>
          <t>Mechanical</t>
        </is>
      </c>
      <c r="Q35" s="4" t="inlineStr">
        <is>
          <t>https://www.acorn-ind.co.uk/p/skf/rod-ends-with-male-thread/sa8e-skf/</t>
        </is>
      </c>
      <c r="R35" s="4" t="inlineStr">
        <is>
          <t>Phase 1</t>
        </is>
      </c>
      <c r="S35" s="4" t="n"/>
      <c r="T35" s="4" t="n"/>
    </row>
    <row r="36" hidden="1">
      <c r="A36" s="3" t="inlineStr">
        <is>
          <t>[ALT qty0] Testa a snodo SKF SAL8E M8 sinistra, bore 8 mm</t>
        </is>
      </c>
      <c r="B36" s="4" t="inlineStr">
        <is>
          <t>SKF</t>
        </is>
      </c>
      <c r="C36" s="5" t="n">
        <v>10</v>
      </c>
      <c r="D36" s="6" t="n">
        <v>0.22</v>
      </c>
      <c r="E36" s="5">
        <f>C36*D36</f>
        <v/>
      </c>
      <c r="F36" s="4" t="n">
        <v>0</v>
      </c>
      <c r="G36" s="5">
        <f>(C36+E36)*F36</f>
        <v/>
      </c>
      <c r="H36" s="4" t="n"/>
      <c r="I36" s="4" t="n"/>
      <c r="J36" s="4" t="n"/>
      <c r="K36" s="4" t="n"/>
      <c r="L36" s="4" t="n"/>
      <c r="M36" s="4" t="n"/>
      <c r="N36" s="3" t="inlineStr">
        <is>
          <t>Upgrade di precisione lato motore.</t>
        </is>
      </c>
      <c r="O36" s="3" t="inlineStr">
        <is>
          <t>Filetti opposti destra/sinistra per la regolazione.</t>
        </is>
      </c>
      <c r="P36" s="4" t="inlineStr">
        <is>
          <t>Mechanical</t>
        </is>
      </c>
      <c r="Q36" s="4" t="inlineStr">
        <is>
          <t>https://www.acorn-ind.co.uk/p/skf/rod-ends-with-male-thread/sal8e-skf/</t>
        </is>
      </c>
      <c r="R36" s="4" t="inlineStr">
        <is>
          <t>Phase 1</t>
        </is>
      </c>
      <c r="S36" s="4" t="n"/>
      <c r="T36" s="4" t="n"/>
    </row>
    <row r="37" hidden="1">
      <c r="A37" s="3" t="inlineStr">
        <is>
          <t>[ALT qty0] Tubo tenditore M8 DIN 1478</t>
        </is>
      </c>
      <c r="B37" s="4" t="inlineStr">
        <is>
          <t>mbo Osswald</t>
        </is>
      </c>
      <c r="C37" s="5" t="n">
        <v>9</v>
      </c>
      <c r="D37" s="6" t="n">
        <v>0.22</v>
      </c>
      <c r="E37" s="5">
        <f>C37*D37</f>
        <v/>
      </c>
      <c r="F37" s="4" t="n">
        <v>0</v>
      </c>
      <c r="G37" s="5">
        <f>(C37+E37)*F37</f>
        <v/>
      </c>
      <c r="H37" s="4" t="n"/>
      <c r="I37" s="4" t="n"/>
      <c r="J37" s="4" t="n"/>
      <c r="K37" s="4" t="n"/>
      <c r="L37" s="4" t="n"/>
      <c r="M37" s="4" t="n"/>
      <c r="N37" s="3" t="inlineStr">
        <is>
          <t>Corpo del pushrod per upgrade SKF.</t>
        </is>
      </c>
      <c r="O37" s="3" t="inlineStr"/>
      <c r="P37" s="4" t="inlineStr">
        <is>
          <t>Mechanical</t>
        </is>
      </c>
      <c r="Q37" s="4" t="inlineStr">
        <is>
          <t>https://www.mbo-osswald.de/en/configurators/joint-rod-configurator</t>
        </is>
      </c>
      <c r="R37" s="4" t="inlineStr">
        <is>
          <t>Phase 1</t>
        </is>
      </c>
      <c r="S37" s="4" t="n"/>
      <c r="T37" s="4" t="n"/>
    </row>
    <row r="38">
      <c r="A38" s="7" t="inlineStr">
        <is>
          <t>igus igubal KARM-08 CL / KARM_08_CL_1 - M8 right-hand male rod end, Ø8 bore, ±35°</t>
        </is>
      </c>
      <c r="B38" s="8" t="inlineStr">
        <is>
          <t>igus</t>
        </is>
      </c>
      <c r="C38" s="9" t="n">
        <v>0</v>
      </c>
      <c r="D38" s="10" t="n">
        <v>0.22</v>
      </c>
      <c r="E38" s="9">
        <f>C38*D38</f>
        <v/>
      </c>
      <c r="F38" s="8" t="n">
        <v>2</v>
      </c>
      <c r="G38" s="9">
        <f>(C38+E38)*F38</f>
        <v/>
      </c>
      <c r="H38" s="8" t="n"/>
      <c r="I38" s="8" t="n"/>
      <c r="J38" s="8" t="n"/>
      <c r="K38" s="8" t="n"/>
      <c r="L38" s="8" t="n"/>
      <c r="M38" s="8" t="n"/>
      <c r="N38" s="7" t="inlineStr">
        <is>
          <t>Selected right-hand spherical rod ends for the ankle pushrods: igus igubal KARM-08 CL, model KARM_08_CL_1, male M8 right-hand thread, Ø8 E10 ball bore for the Ø8/M6 shoulder screws, pivot angle ±35°, weight 6.2 g each.</t>
        </is>
      </c>
      <c r="O38" s="7" t="inlineStr">
        <is>
          <t>Active user choice 2026-06-27, corrected 2026-06-27 for turnbuckle adjustment: qty 2 right-hand ends. Pair one KARM right-hand end with one KALM left-hand end per pushrod so rotating the aluminum body changes length. Plastic housing igumid G with iglide L280 ball. Loads from igus catalog: 1.7 kN short-term / 0.85 kN continuous in tension. Price is left 0 until the exact igus cart/quote is confirmed.</t>
        </is>
      </c>
      <c r="P38" s="8" t="inlineStr">
        <is>
          <t>Mechanical</t>
        </is>
      </c>
      <c r="Q38" s="11" t="inlineStr">
        <is>
          <t>https://www.igus.com/product?artNr=KARM-08-CL</t>
        </is>
      </c>
      <c r="R38" s="8" t="inlineStr">
        <is>
          <t>Phase 1</t>
        </is>
      </c>
      <c r="S38" s="12" t="n">
        <v>0.012</v>
      </c>
      <c r="T38" s="8" t="n"/>
    </row>
    <row r="39">
      <c r="A39" s="7" t="inlineStr">
        <is>
          <t>igus igubal KALM-08 CL - M8 left-hand male rod end, Ø8 bore, ±35°</t>
        </is>
      </c>
      <c r="B39" s="8" t="inlineStr">
        <is>
          <t>igus / ERIKS</t>
        </is>
      </c>
      <c r="C39" s="9" t="n">
        <v>0</v>
      </c>
      <c r="D39" s="10" t="n">
        <v>0.22</v>
      </c>
      <c r="E39" s="9">
        <f>C39*D39</f>
        <v/>
      </c>
      <c r="F39" s="8" t="n">
        <v>2</v>
      </c>
      <c r="G39" s="9">
        <f>(C39+E39)*F39</f>
        <v/>
      </c>
      <c r="H39" s="8" t="n"/>
      <c r="I39" s="8" t="n"/>
      <c r="J39" s="8" t="n"/>
      <c r="K39" s="8" t="n"/>
      <c r="L39" s="8" t="n"/>
      <c r="M39" s="8" t="n"/>
      <c r="N39" s="7" t="inlineStr">
        <is>
          <t>Selected left-hand spherical rod ends for the ankle pushrods: igus igubal KALM-08 CL family, male M8 left-hand thread, Ø8 E10 ball bore for the Ø8/M6 shoulder screws, target pivot angle ±35° matching the KARM-08 CL geometry.</t>
        </is>
      </c>
      <c r="O39" s="7" t="inlineStr">
        <is>
          <t>Active qty 2 as the left-hand mate to the two KARM right-hand ends. Availability must be confirmed before ordering: older igus catalog text says KALM-CL left-hand was in preparation, while distributors list KALM-08-CL-J. If KALM-08-CL cannot be bought, fallback is either keep the stock left-hand metal rod end on the low-angle side or redesign the rod body/adapters; do not replace this with a female KBLM/KBRM part unless the pushrod body changes to male threaded studs.</t>
        </is>
      </c>
      <c r="P39" s="8" t="inlineStr">
        <is>
          <t>Mechanical</t>
        </is>
      </c>
      <c r="Q39" s="11" t="inlineStr">
        <is>
          <t>https://shop.eriks.de/de/waelzlager-gelenklager-und-gelenkkoepfe-gelenkkoepfe/gelenkkopf-wartungsfrei-igumid-g-iglidur-j-aussengewinde-links-serie-kalm-cl-j-pr2079035551789/</t>
        </is>
      </c>
      <c r="R39" s="8" t="inlineStr">
        <is>
          <t>Phase 1</t>
        </is>
      </c>
      <c r="S39" s="12" t="n">
        <v>0.012</v>
      </c>
      <c r="T39" s="8" t="n"/>
    </row>
    <row r="40">
      <c r="A40" s="7" t="inlineStr">
        <is>
          <t>DIN 439 M8 thin jam nut, right-hand thread - pushrod length lock</t>
        </is>
      </c>
      <c r="B40" s="8" t="inlineStr">
        <is>
          <t>Accu / Fabory</t>
        </is>
      </c>
      <c r="C40" s="9" t="n">
        <v>0.5</v>
      </c>
      <c r="D40" s="10" t="n">
        <v>0.22</v>
      </c>
      <c r="E40" s="9">
        <f>C40*D40</f>
        <v/>
      </c>
      <c r="F40" s="8" t="n">
        <v>2</v>
      </c>
      <c r="G40" s="9">
        <f>(C40+E40)*F40</f>
        <v/>
      </c>
      <c r="H40" s="8" t="n"/>
      <c r="I40" s="8" t="n"/>
      <c r="J40" s="8" t="n"/>
      <c r="K40" s="8" t="n"/>
      <c r="L40" s="8" t="n"/>
      <c r="M40" s="8" t="n"/>
      <c r="N40" s="7" t="inlineStr">
        <is>
          <t>Thin right-hand jam nuts for locking the two KARM-08 right-hand rod ends after pushrod length adjustment. Standard DIN 439 / ISO 4035 M8 x 1.25 geometry: height along thread 4.0 mm, across flats 13 mm, circumscribed hex diameter about 15.0 mm.</t>
        </is>
      </c>
      <c r="O40" s="7" t="inlineStr">
        <is>
          <t>Use one jam nut on each right-hand rod end. This is M8, not M6, because it locks on the rod-end external thread. Final supplier/finish can be generic DIN 439 A2/A4 or zinc steel; CAD clearance should reserve the 15 mm circumscribed diameter. [Checked 2026-07-19: no verified big-store equivalent for the LEFT-hand thin nut; specialist source kept. Before ordering, check whether the AliExpress pushrod kit already includes RH+LH jam nuts.]</t>
        </is>
      </c>
      <c r="P40" s="8" t="inlineStr">
        <is>
          <t>Mechanical</t>
        </is>
      </c>
      <c r="Q40" s="11" t="inlineStr">
        <is>
          <t>https://www.accu.co.uk/thin-hexagon-nuts/73062-HFN-M8-A2</t>
        </is>
      </c>
      <c r="R40" s="8" t="inlineStr">
        <is>
          <t>Phase 1</t>
        </is>
      </c>
      <c r="S40" s="12" t="n">
        <v>0.004</v>
      </c>
      <c r="T40" s="8" t="n"/>
    </row>
    <row r="41">
      <c r="A41" s="7" t="inlineStr">
        <is>
          <t>DIN 439 M8 thin jam nut, left-hand thread - pushrod length lock</t>
        </is>
      </c>
      <c r="B41" s="8" t="inlineStr">
        <is>
          <t>Accu / Fabory</t>
        </is>
      </c>
      <c r="C41" s="9" t="n">
        <v>0.5</v>
      </c>
      <c r="D41" s="10" t="n">
        <v>0.22</v>
      </c>
      <c r="E41" s="9">
        <f>C41*D41</f>
        <v/>
      </c>
      <c r="F41" s="8" t="n">
        <v>2</v>
      </c>
      <c r="G41" s="9">
        <f>(C41+E41)*F41</f>
        <v/>
      </c>
      <c r="H41" s="8" t="n"/>
      <c r="I41" s="8" t="n"/>
      <c r="J41" s="8" t="n"/>
      <c r="K41" s="8" t="n"/>
      <c r="L41" s="8" t="n"/>
      <c r="M41" s="8" t="n"/>
      <c r="N41" s="7" t="inlineStr">
        <is>
          <t>Thin left-hand jam nuts for locking the two KALM-08 left-hand rod ends after pushrod length adjustment. Standard DIN 439 / ISO 4035 M8 x 1.25 left-hand geometry: height along thread 4.0 mm, across flats 13 mm, circumscribed hex diameter about 15.0 mm.</t>
        </is>
      </c>
      <c r="O41" s="7" t="inlineStr">
        <is>
          <t>Use one jam nut on each left-hand rod end. A normal right-hand nut will not fit the KALM left-hand thread. CAD clearance should reserve the 15 mm circumscribed diameter and wrench access to the 13 mm flats. [Checked 2026-07-19: no verified big-store equivalent for the LEFT-hand thin nut; specialist source kept. Before ordering, check whether the AliExpress pushrod kit already includes RH+LH jam nuts.]</t>
        </is>
      </c>
      <c r="P41" s="8" t="inlineStr">
        <is>
          <t>Mechanical</t>
        </is>
      </c>
      <c r="Q41" s="11" t="inlineStr">
        <is>
          <t>https://accu-components.com/us/left-hand-thread-hex-jam-nuts/73142-HFNL-M8-A2</t>
        </is>
      </c>
      <c r="R41" s="8" t="inlineStr">
        <is>
          <t>Phase 1</t>
        </is>
      </c>
      <c r="S41" s="12" t="n">
        <v>0.004</v>
      </c>
      <c r="T41" s="8" t="n"/>
    </row>
    <row r="42" hidden="1">
      <c r="A42" s="3" t="inlineStr">
        <is>
          <t>[UPGRADE ROLL qty0] Spaziatori conici high-misalignment M8-&gt;M6 per rod-end metallici (coppia)</t>
        </is>
      </c>
      <c r="B42" s="4" t="inlineStr">
        <is>
          <t>Competition Supplies / McGill Motorsport</t>
        </is>
      </c>
      <c r="C42" s="5" t="n">
        <v>0</v>
      </c>
      <c r="D42" s="6" t="n">
        <v>0.22</v>
      </c>
      <c r="E42" s="5">
        <f>C42*D42</f>
        <v/>
      </c>
      <c r="F42" s="4" t="n">
        <v>0</v>
      </c>
      <c r="G42" s="5">
        <f>(C42+E42)*F42</f>
        <v/>
      </c>
      <c r="H42" s="4" t="n"/>
      <c r="I42" s="4" t="n"/>
      <c r="J42" s="4" t="n"/>
      <c r="K42" s="4" t="n"/>
      <c r="L42" s="4" t="n"/>
      <c r="M42" s="4" t="n"/>
      <c r="N42" s="3" t="inlineStr">
        <is>
          <t>Torque di boccole a gradino/cono: parte cilindrica nel bore Ø8 della sfera, cono stretto verso le orecchie, bullone M6 passante. L'occhio tocca il cono invece della faccia larga -&gt; +8-12 gradi/lato = ±20-25 totali sui rod-end metallici standard.</t>
        </is>
      </c>
      <c r="O42" s="3" t="inlineStr">
        <is>
          <t>Alternative economica all'igubal CL per alzare il roll dei rod-end ATTUALI: il pin passa da colletto Ø8 a M6 semplice (meno sezione, ok per ~1-2 kN). Fonti: Competition Supplies 'High misalignment spacer M8 to M6' (coppia, metrico), McGill Motorsport pack 6/10, Midwest Control HMBZC-M8-M6 (USA). Su AliExpress cercare 'heim joint misalignment spacer 8mm'. Qty al CAD.</t>
        </is>
      </c>
      <c r="P42" s="4" t="inlineStr">
        <is>
          <t>Mechanical</t>
        </is>
      </c>
      <c r="Q42" s="4" t="inlineStr">
        <is>
          <t>https://www.competitionsupplies.com/rod-ends-spherical-bearings/rod-end-bearing-accessories/high-misalignment-spacers-metric/high-misalignment-spacer-m8-to-m6-pair</t>
        </is>
      </c>
      <c r="R42" s="4" t="inlineStr">
        <is>
          <t>Phase 1</t>
        </is>
      </c>
      <c r="S42" s="4" t="n"/>
      <c r="T42" s="4" t="n"/>
    </row>
    <row r="43">
      <c r="A43" s="7" t="inlineStr">
        <is>
          <t>AliExpress black shoulder screw Ø8 x M6 x 45 mm - ankle gimbal pitch/roll axes</t>
        </is>
      </c>
      <c r="B43" s="8" t="inlineStr">
        <is>
          <t>AliExpress</t>
        </is>
      </c>
      <c r="C43" s="9" t="n">
        <v>2</v>
      </c>
      <c r="D43" s="10" t="n">
        <v>0.22</v>
      </c>
      <c r="E43" s="9">
        <f>C43*D43</f>
        <v/>
      </c>
      <c r="F43" s="8" t="n">
        <v>2</v>
      </c>
      <c r="G43" s="9">
        <f>(C43+E43)*F43</f>
        <v/>
      </c>
      <c r="H43" s="8" t="n"/>
      <c r="I43" s="8" t="n"/>
      <c r="J43" s="8" t="n"/>
      <c r="K43" s="8" t="n"/>
      <c r="L43" s="8" t="n"/>
      <c r="M43" s="8" t="n"/>
      <c r="N43" s="7" t="inlineStr">
        <is>
          <t>Selected shoulder screws for the ankle offset gimbal: Ø8 mm shoulder diameter, M6 thread, 45 mm shoulder length. Use two screws stacked in Z: higher screw = pitch axis, lower screw = roll axis.</t>
        </is>
      </c>
      <c r="O43" s="7" t="inlineStr">
        <is>
          <t>FIRST CHOICE listing from user update 2026-06-27, revised after lower-leg CAD screenshot. This is intentionally an offset gimbal, so CAD/simulation must use the measured pitch-roll Z offset rather than an ideal intersecting-axis Cardan approximation. Add Loctite 243 and M6 nut/locknut as listed above.</t>
        </is>
      </c>
      <c r="P43" s="8" t="inlineStr">
        <is>
          <t>Mechanical</t>
        </is>
      </c>
      <c r="Q43" s="11" t="inlineStr">
        <is>
          <t>https://it.aliexpress.com/item/1005007885495357.html</t>
        </is>
      </c>
      <c r="R43" s="8" t="inlineStr">
        <is>
          <t>Phase 1</t>
        </is>
      </c>
      <c r="S43" s="8" t="n"/>
      <c r="T43" s="8" t="n"/>
    </row>
    <row r="44">
      <c r="A44" s="7" t="inlineStr">
        <is>
          <t>AliExpress black shoulder screw Ø8 x M6 x 16 mm - pushrod rod-end pivots</t>
        </is>
      </c>
      <c r="B44" s="8" t="inlineStr">
        <is>
          <t>AliExpress</t>
        </is>
      </c>
      <c r="C44" s="9" t="n">
        <v>2</v>
      </c>
      <c r="D44" s="10" t="n">
        <v>0.22</v>
      </c>
      <c r="E44" s="9">
        <f>C44*D44</f>
        <v/>
      </c>
      <c r="F44" s="8" t="n">
        <v>4</v>
      </c>
      <c r="G44" s="9">
        <f>(C44+E44)*F44</f>
        <v/>
      </c>
      <c r="H44" s="8" t="n"/>
      <c r="I44" s="8" t="n"/>
      <c r="J44" s="8" t="n"/>
      <c r="K44" s="8" t="n"/>
      <c r="L44" s="8" t="n"/>
      <c r="M44" s="8" t="n"/>
      <c r="N44" s="7" t="inlineStr">
        <is>
          <t>Selected shoulder screws for the M8 pushrod rod-end pivots: Ø8 mm shoulder diameter, M6 thread, 16 mm shoulder length. The Ø8 shoulder passes through the rod-end spherical bearing.</t>
        </is>
      </c>
      <c r="O44" s="7" t="inlineStr">
        <is>
          <t>FIRST CHOICE listing from user update 2026-06-27. The shoulder length must match the printed/metal clevis stack plus running clearance so the nut clamps the shoulder stack, not the spherical bearing.</t>
        </is>
      </c>
      <c r="P44" s="8" t="inlineStr">
        <is>
          <t>Mechanical</t>
        </is>
      </c>
      <c r="Q44" s="11" t="inlineStr">
        <is>
          <t>https://it.aliexpress.com/item/1005007885495357.html</t>
        </is>
      </c>
      <c r="R44" s="8" t="inlineStr">
        <is>
          <t>Phase 1</t>
        </is>
      </c>
      <c r="S44" s="8" t="n"/>
      <c r="T44" s="8" t="n"/>
    </row>
    <row r="45" hidden="1">
      <c r="A45" s="3" t="inlineStr">
        <is>
          <t>[CATALOGO qty0] Motedis W8H6 - albero precisione diam. 8 mm h6 temprato and rettificato</t>
        </is>
      </c>
      <c r="B45" s="4" t="inlineStr">
        <is>
          <t>Motedis</t>
        </is>
      </c>
      <c r="C45" s="5" t="n">
        <v>0</v>
      </c>
      <c r="D45" s="6" t="n">
        <v>0.22</v>
      </c>
      <c r="E45" s="5">
        <f>C45*D45</f>
        <v/>
      </c>
      <c r="F45" s="4" t="n">
        <v>0</v>
      </c>
      <c r="G45" s="5">
        <f>(C45+E45)*F45</f>
        <v/>
      </c>
      <c r="H45" s="4" t="n"/>
      <c r="I45" s="4" t="n"/>
      <c r="J45" s="4" t="n"/>
      <c r="K45" s="4" t="n"/>
      <c r="L45" s="4" t="n"/>
      <c r="M45" s="4" t="n"/>
      <c r="N45" s="3" t="inlineStr">
        <is>
          <t>Alternative da tagliare a misura per il pin trasversale piede diametro 8 mm sul quale si montano le due teste a snodo M8.</t>
        </is>
      </c>
      <c r="O45" s="3" t="inlineStr">
        <is>
          <t>Codice prodotto Motedis W8H6: acciaio CF53 temprato and rettificato, tolleranza h6. Qty 0: prezzo dipendente dalla lunghezza di taglio. Progettare distanziali tra le sfere and ritegni laterali.</t>
        </is>
      </c>
      <c r="P45" s="4" t="inlineStr">
        <is>
          <t>Mechanical</t>
        </is>
      </c>
      <c r="Q45" s="4" t="inlineStr">
        <is>
          <t>https://www.motedis.it/it/Albero-di-precisione-8-mm-h6-acciaio-temprato-e-rettificato</t>
        </is>
      </c>
      <c r="R45" s="4" t="inlineStr">
        <is>
          <t>Phase 1</t>
        </is>
      </c>
      <c r="S45" s="4" t="n"/>
      <c r="T45" s="4" t="n"/>
    </row>
    <row r="46" hidden="1">
      <c r="A46" s="3" t="inlineStr">
        <is>
          <t>[CATALOGO qty0] Ruland MSP-8-F - collare split smontabile per pin diam. 8 mm</t>
        </is>
      </c>
      <c r="B46" s="4" t="inlineStr">
        <is>
          <t>Ruland</t>
        </is>
      </c>
      <c r="C46" s="5" t="n">
        <v>7.67</v>
      </c>
      <c r="D46" s="6" t="n">
        <v>0.22</v>
      </c>
      <c r="E46" s="5">
        <f>C46*D46</f>
        <v/>
      </c>
      <c r="F46" s="4" t="n">
        <v>0</v>
      </c>
      <c r="G46" s="5">
        <f>(C46+E46)*F46</f>
        <v/>
      </c>
      <c r="H46" s="4" t="n"/>
      <c r="I46" s="4" t="n"/>
      <c r="J46" s="4" t="n"/>
      <c r="K46" s="4" t="n"/>
      <c r="L46" s="4" t="n"/>
      <c r="M46" s="4" t="n"/>
      <c r="N46" s="3" t="inlineStr">
        <is>
          <t>Collare in due pcs per trattenere lateralmente il pin trasversale piede diametro 8 mm se il CAD lascia spazio. Diametro esterno 18 mm, larghezza 9 mm.</t>
        </is>
      </c>
      <c r="O46" s="3" t="inlineStr">
        <is>
          <t>Exact SKU MSP-8-F. Price checked 2026-06-02: USD 8.33 about EUR 7.67. Qty 0: valutare due collari oppure un altro ritegno solo dopo aver definito il piede.</t>
        </is>
      </c>
      <c r="P46" s="4" t="inlineStr">
        <is>
          <t>Mechanical</t>
        </is>
      </c>
      <c r="Q46" s="4" t="inlineStr">
        <is>
          <t>https://www.ruland.com/msp-8-f.html</t>
        </is>
      </c>
      <c r="R46" s="4" t="inlineStr">
        <is>
          <t>Phase 1</t>
        </is>
      </c>
      <c r="S46" s="4" t="n"/>
      <c r="T46" s="4" t="n"/>
    </row>
    <row r="47" hidden="1">
      <c r="A47" s="3" t="inlineStr">
        <is>
          <t>[DEACTIVATED qty0] Waist roll idle-side pin - black AliExpress shoulder screw Ø12 x M10</t>
        </is>
      </c>
      <c r="B47" s="4" t="inlineStr">
        <is>
          <t>AliExpress</t>
        </is>
      </c>
      <c r="C47" s="5" t="n">
        <v>3</v>
      </c>
      <c r="D47" s="6" t="n">
        <v>0.22</v>
      </c>
      <c r="E47" s="5">
        <f>C47*D47</f>
        <v/>
      </c>
      <c r="F47" s="4" t="n">
        <v>0</v>
      </c>
      <c r="G47" s="5">
        <f>(C47+E47)*F47</f>
        <v/>
      </c>
      <c r="H47" s="4" t="n"/>
      <c r="I47" s="4" t="n"/>
      <c r="J47" s="4" t="n"/>
      <c r="K47" s="4" t="n"/>
      <c r="L47" s="4" t="n"/>
      <c r="M47" s="4" t="n"/>
      <c r="N47" s="3" t="inlineStr">
        <is>
          <t>Deactivated historical waist-roll idle support pin. It belonged to an older direct-roll support concept with a pin and bearings on the side opposite the roll motor.</t>
        </is>
      </c>
      <c r="O47" s="3" t="inlineStr">
        <is>
          <t>DEACTIVATED 2026-06-27 after user clarified this idle support is not necessary in the current waist CAD. Keep as historical reference only; reactivate only if CAD later adds an opposite-side waist-roll support.</t>
        </is>
      </c>
      <c r="P47" s="4" t="inlineStr">
        <is>
          <t>Mechanical</t>
        </is>
      </c>
      <c r="Q47" s="4" t="inlineStr">
        <is>
          <t>https://it.aliexpress.com/item/1005007481484485.html</t>
        </is>
      </c>
      <c r="R47" s="4" t="inlineStr">
        <is>
          <t>Phase 3</t>
        </is>
      </c>
      <c r="S47" s="4" t="n"/>
      <c r="T47" s="4" t="n"/>
    </row>
    <row r="48" hidden="1">
      <c r="A48" s="3" t="inlineStr">
        <is>
          <t>[DEACTIVATED qty0] 6002-2RS bearing, 15 mm bore (15x32x9) - waist roll idle support</t>
        </is>
      </c>
      <c r="B48" s="4" t="inlineStr">
        <is>
          <t>123Bearing</t>
        </is>
      </c>
      <c r="C48" s="5" t="n">
        <v>6</v>
      </c>
      <c r="D48" s="6" t="n">
        <v>0.22</v>
      </c>
      <c r="E48" s="5">
        <f>C48*D48</f>
        <v/>
      </c>
      <c r="F48" s="4" t="n">
        <v>0</v>
      </c>
      <c r="G48" s="5">
        <f>(C48+E48)*F48</f>
        <v/>
      </c>
      <c r="H48" s="4" t="n"/>
      <c r="I48" s="4" t="n"/>
      <c r="J48" s="4" t="n"/>
      <c r="K48" s="4" t="n"/>
      <c r="L48" s="4" t="n"/>
      <c r="M48" s="4" t="n"/>
      <c r="N48" s="3" t="inlineStr">
        <is>
          <t>Deactivated historical bearing pair for the older waist-roll idle support. This is not part of the current waist CAD and is not required for purchase.</t>
        </is>
      </c>
      <c r="O48" s="3" t="inlineStr">
        <is>
          <t>DEACTIVATED 2026-06-27: this belonged to the old idea of an opposite-side idle support for waist roll. User confirmed it is not necessary. Do not buy unless the waist CAD later adds this support.</t>
        </is>
      </c>
      <c r="P48" s="4" t="inlineStr">
        <is>
          <t>Mechanical</t>
        </is>
      </c>
      <c r="Q48" s="4" t="inlineStr">
        <is>
          <t>https://www.123bearing.com/bearing-housing/deep-groove-bearing/single-row/6002-2rs</t>
        </is>
      </c>
      <c r="R48" s="4" t="inlineStr">
        <is>
          <t>Phase 3</t>
        </is>
      </c>
      <c r="S48" s="4" t="n"/>
      <c r="T48" s="4" t="n"/>
    </row>
    <row r="49">
      <c r="A49" s="7" t="inlineStr">
        <is>
          <t>Heat-set brass threaded inserts M3/M4/M5</t>
        </is>
      </c>
      <c r="B49" s="8" t="inlineStr">
        <is>
          <t>Prusa / VXB</t>
        </is>
      </c>
      <c r="C49" s="9" t="n">
        <v>25</v>
      </c>
      <c r="D49" s="10" t="n">
        <v>0.22</v>
      </c>
      <c r="E49" s="9">
        <f>C49*D49</f>
        <v/>
      </c>
      <c r="F49" s="8" t="n">
        <v>1</v>
      </c>
      <c r="G49" s="9">
        <f>(C49+E49)*F49</f>
        <v/>
      </c>
      <c r="H49" s="8" t="n"/>
      <c r="I49" s="8" t="n"/>
      <c r="J49" s="8" t="n"/>
      <c r="K49" s="8" t="n"/>
      <c r="L49" s="8" t="n"/>
      <c r="M49" s="8" t="n"/>
      <c r="N49" s="7" t="inlineStr">
        <is>
          <t>Reusable threads for PA-CF printed parts.</t>
        </is>
      </c>
      <c r="O49" s="7" t="inlineStr"/>
      <c r="P49" s="8" t="inlineStr">
        <is>
          <t>Mechanical</t>
        </is>
      </c>
      <c r="Q49" s="11" t="inlineStr">
        <is>
          <t>https://www.prusa3d.com/product/threaded-inserts-m4-short-50-pcs/</t>
        </is>
      </c>
      <c r="R49" s="8" t="inlineStr">
        <is>
          <t>Phase 1</t>
        </is>
      </c>
      <c r="S49" s="8" t="n"/>
      <c r="T49" s="8" t="n"/>
    </row>
    <row r="50">
      <c r="A50" s="7" t="inlineStr">
        <is>
          <t>M3/M4/M5 screw, nut and washer assortment</t>
        </is>
      </c>
      <c r="B50" s="8" t="inlineStr">
        <is>
          <t>Amazon</t>
        </is>
      </c>
      <c r="C50" s="9" t="n">
        <v>35</v>
      </c>
      <c r="D50" s="10" t="n">
        <v>0.22</v>
      </c>
      <c r="E50" s="9">
        <f>C50*D50</f>
        <v/>
      </c>
      <c r="F50" s="8" t="n">
        <v>1</v>
      </c>
      <c r="G50" s="9">
        <f>(C50+E50)*F50</f>
        <v/>
      </c>
      <c r="H50" s="8" t="n"/>
      <c r="I50" s="8" t="n"/>
      <c r="J50" s="8" t="n"/>
      <c r="K50" s="8" t="n"/>
      <c r="L50" s="8" t="n"/>
      <c r="M50" s="8" t="n"/>
      <c r="N50" s="7" t="inlineStr">
        <is>
          <t>General hardware for motors, brackets and covers.</t>
        </is>
      </c>
      <c r="O50" s="7" t="inlineStr">
        <is>
          <t>Check blind-hole depths on the motors before assembly and add any missing screw lengths separately.</t>
        </is>
      </c>
      <c r="P50" s="8" t="inlineStr">
        <is>
          <t>Mechanical</t>
        </is>
      </c>
      <c r="Q50" s="11" t="inlineStr">
        <is>
          <t>https://www.amazon.it/SANTOO-Acciaio-Esagonale-Assortimento-Fissaggio/dp/B07RV2SFX6</t>
        </is>
      </c>
      <c r="R50" s="8" t="inlineStr">
        <is>
          <t>Phase 1</t>
        </is>
      </c>
      <c r="S50" s="8" t="n"/>
      <c r="T50" s="8" t="n"/>
    </row>
    <row r="51">
      <c r="A51" s="7" t="inlineStr">
        <is>
          <t>ISO 4762 socket-head cap screw M3 x 10 mm, steel, full thread</t>
        </is>
      </c>
      <c r="B51" s="8" t="inlineStr">
        <is>
          <t>MISUMI / Würth / RS</t>
        </is>
      </c>
      <c r="C51" s="9" t="n">
        <v>0.04</v>
      </c>
      <c r="D51" s="10" t="n">
        <v>0.22</v>
      </c>
      <c r="E51" s="9">
        <f>C51*D51</f>
        <v/>
      </c>
      <c r="F51" s="8" t="n">
        <v>8</v>
      </c>
      <c r="G51" s="9">
        <f>(C51+E51)*F51</f>
        <v/>
      </c>
      <c r="H51" s="8" t="n"/>
      <c r="I51" s="8" t="n"/>
      <c r="J51" s="8" t="n"/>
      <c r="K51" s="8" t="n"/>
      <c r="L51" s="8" t="n"/>
      <c r="M51" s="8" t="n"/>
      <c r="N51" s="7" t="inlineStr">
        <is>
          <t>Eight installed on the two RS05 neck actuators: four per actuator. Thread length is 10 mm; the socket head is not included in this length.</t>
        </is>
      </c>
      <c r="O51" s="7" t="inlineStr">
        <is>
          <t>Standard ISO 4762/DIN 912 size. Approximate single-screw mass 0.88 g. Its mass is already included in the RS05 CAD assembly mass so this row has no mass entry and must not be double-counted.</t>
        </is>
      </c>
      <c r="P51" s="8" t="inlineStr">
        <is>
          <t>Mechanical</t>
        </is>
      </c>
      <c r="Q51" s="11" t="inlineStr">
        <is>
          <t>https://it.misumi-ec.com/vona2/detail/110302217940/?HissuCode=CB3-10</t>
        </is>
      </c>
      <c r="R51" s="8" t="inlineStr">
        <is>
          <t>Phase 1</t>
        </is>
      </c>
      <c r="S51" s="8" t="n"/>
      <c r="T51" s="8" t="n"/>
    </row>
    <row r="52">
      <c r="A52" s="7" t="inlineStr">
        <is>
          <t>ISO 4762 socket-head cap screw M3 x 15 mm, steel, full thread</t>
        </is>
      </c>
      <c r="B52" s="8" t="inlineStr">
        <is>
          <t>MISUMI / Würth / RS</t>
        </is>
      </c>
      <c r="C52" s="9" t="n">
        <v>0.05</v>
      </c>
      <c r="D52" s="10" t="n">
        <v>0.22</v>
      </c>
      <c r="E52" s="9">
        <f>C52*D52</f>
        <v/>
      </c>
      <c r="F52" s="8" t="n">
        <v>184</v>
      </c>
      <c r="G52" s="9">
        <f>(C52+E52)*F52</f>
        <v/>
      </c>
      <c r="H52" s="8" t="n"/>
      <c r="I52" s="8" t="n"/>
      <c r="J52" s="8" t="n"/>
      <c r="K52" s="8" t="n"/>
      <c r="L52" s="8" t="n"/>
      <c r="M52" s="8" t="n"/>
      <c r="N52" s="7" t="inlineStr">
        <is>
          <t>Installed motor fasteners: 8 per RS06 x 11 actuators plus 12 per RS00 x 8 actuators = 184 screws. Thread length is 15 mm; head excluded.</t>
        </is>
      </c>
      <c r="O52" s="7" t="inlineStr">
        <is>
          <t>Standard ISO 4762/DIN 912 size. Approximate single-screw mass 1.11 g. Mass is already included in the RS06 and RS00 CAD assembly masses; do not double-count it in the BOM mass total.</t>
        </is>
      </c>
      <c r="P52" s="8" t="inlineStr">
        <is>
          <t>Mechanical</t>
        </is>
      </c>
      <c r="Q52" s="11" t="inlineStr">
        <is>
          <t>https://it.misumi-ec.com/vona2/detail/110302217940/?HissuCode=CB3-15</t>
        </is>
      </c>
      <c r="R52" s="8" t="inlineStr">
        <is>
          <t>Phase 1</t>
        </is>
      </c>
      <c r="S52" s="8" t="n"/>
      <c r="T52" s="8" t="n"/>
    </row>
    <row r="53" hidden="1">
      <c r="A53" s="3" t="inlineStr">
        <is>
          <t>[CATALOG qty0] ISO 4762 socket-head cap screw M3 x 20 mm, steel, full thread</t>
        </is>
      </c>
      <c r="B53" s="4" t="inlineStr">
        <is>
          <t>MISUMI / Würth / RS</t>
        </is>
      </c>
      <c r="C53" s="5" t="n">
        <v>0.06</v>
      </c>
      <c r="D53" s="6" t="n">
        <v>0.22</v>
      </c>
      <c r="E53" s="5">
        <f>C53*D53</f>
        <v/>
      </c>
      <c r="F53" s="4" t="n">
        <v>0</v>
      </c>
      <c r="G53" s="5">
        <f>(C53+E53)*F53</f>
        <v/>
      </c>
      <c r="H53" s="4" t="n"/>
      <c r="I53" s="4" t="n"/>
      <c r="J53" s="4" t="n"/>
      <c r="K53" s="4" t="n"/>
      <c r="L53" s="4" t="n"/>
      <c r="M53" s="4" t="n"/>
      <c r="N53" s="3" t="inlineStr">
        <is>
          <t>Widely available standard M3 length; thread length 20 mm, head excluded.</t>
        </is>
      </c>
      <c r="O53" s="3" t="inlineStr">
        <is>
          <t>Catalog option only until a CAD joint needs it. Fractional 7.5 / 12.5 / 17.5 mm M3 lengths are not normal ISO stock sizes and are intentionally not listed.</t>
        </is>
      </c>
      <c r="P53" s="4" t="inlineStr">
        <is>
          <t>Mechanical</t>
        </is>
      </c>
      <c r="Q53" s="4" t="inlineStr">
        <is>
          <t>https://it.misumi-ec.com/vona2/detail/110302217940/?HissuCode=CB3-20</t>
        </is>
      </c>
      <c r="R53" s="4" t="inlineStr">
        <is>
          <t>Phase 1</t>
        </is>
      </c>
      <c r="S53" s="4" t="n"/>
      <c r="T53" s="4" t="n"/>
    </row>
    <row r="54" hidden="1">
      <c r="A54" s="3" t="inlineStr">
        <is>
          <t>[CATALOG qty0] ISO 4762 socket-head cap screw M4 x 10 mm, steel, full thread</t>
        </is>
      </c>
      <c r="B54" s="4" t="inlineStr">
        <is>
          <t>MISUMI / Würth / RS</t>
        </is>
      </c>
      <c r="C54" s="5" t="n">
        <v>0.05</v>
      </c>
      <c r="D54" s="6" t="n">
        <v>0.22</v>
      </c>
      <c r="E54" s="5">
        <f>C54*D54</f>
        <v/>
      </c>
      <c r="F54" s="4" t="n">
        <v>0</v>
      </c>
      <c r="G54" s="5">
        <f>(C54+E54)*F54</f>
        <v/>
      </c>
      <c r="H54" s="4" t="n"/>
      <c r="I54" s="4" t="n"/>
      <c r="J54" s="4" t="n"/>
      <c r="K54" s="4" t="n"/>
      <c r="L54" s="4" t="n"/>
      <c r="M54" s="4" t="n"/>
      <c r="N54" s="3" t="inlineStr">
        <is>
          <t>Widely available standard M4 length; thread length 10 mm, head excluded.</t>
        </is>
      </c>
      <c r="O54" s="3" t="inlineStr">
        <is>
          <t>Catalog option only until a CAD joint needs it. Fractional 7.5 / 12.5 / 17.5 / 22.5 mm M4 lengths are not normal ISO stock sizes and are intentionally not listed.</t>
        </is>
      </c>
      <c r="P54" s="4" t="inlineStr">
        <is>
          <t>Mechanical</t>
        </is>
      </c>
      <c r="Q54" s="4" t="inlineStr">
        <is>
          <t>https://it.misumi-ec.com/vona2/detail/110302217940/?HissuCode=CB4-10</t>
        </is>
      </c>
      <c r="R54" s="4" t="inlineStr">
        <is>
          <t>Phase 1</t>
        </is>
      </c>
      <c r="S54" s="4" t="n"/>
      <c r="T54" s="4" t="n"/>
    </row>
    <row r="55">
      <c r="A55" s="7" t="inlineStr">
        <is>
          <t>ISO 4762 socket-head cap screw M4 x 15 mm, steel, full thread</t>
        </is>
      </c>
      <c r="B55" s="8" t="inlineStr">
        <is>
          <t>MISUMI / Würth / RS</t>
        </is>
      </c>
      <c r="C55" s="9" t="n">
        <v>0.06</v>
      </c>
      <c r="D55" s="10" t="n">
        <v>0.22</v>
      </c>
      <c r="E55" s="9">
        <f>C55*D55</f>
        <v/>
      </c>
      <c r="F55" s="8" t="n">
        <v>201</v>
      </c>
      <c r="G55" s="9">
        <f>(C55+E55)*F55</f>
        <v/>
      </c>
      <c r="H55" s="8" t="n"/>
      <c r="I55" s="8" t="n"/>
      <c r="J55" s="8" t="n"/>
      <c r="K55" s="8" t="n"/>
      <c r="L55" s="8" t="n"/>
      <c r="M55" s="8" t="n"/>
      <c r="N55" s="7" t="inlineStr">
        <is>
          <t>Installed motor fasteners: 6 per RS06 x 11 actuators + 15 per RS04 x 6 actuators + 15 per RS03 x 3 actuators = 201 screws. Thread length is 15 mm; head excluded.</t>
        </is>
      </c>
      <c r="O55" s="7" t="inlineStr">
        <is>
          <t>Standard ISO 4762/DIN 912 size. Approximate single-screw mass 2.175 g. Mass is already included in the RS06, RS04 and RS03 CAD assembly masses; do not double-count it in the BOM mass total.</t>
        </is>
      </c>
      <c r="P55" s="8" t="inlineStr">
        <is>
          <t>Mechanical</t>
        </is>
      </c>
      <c r="Q55" s="11" t="inlineStr">
        <is>
          <t>https://it.misumi-ec.com/vona2/detail/110302217940/?HissuCode=CB4-15</t>
        </is>
      </c>
      <c r="R55" s="8" t="inlineStr">
        <is>
          <t>Phase 1</t>
        </is>
      </c>
      <c r="S55" s="8" t="n"/>
      <c r="T55" s="8" t="n"/>
    </row>
    <row r="56">
      <c r="A56" s="7" t="inlineStr">
        <is>
          <t>ISO 4762 socket-head cap screw M4 x 20 mm, steel, full thread</t>
        </is>
      </c>
      <c r="B56" s="8" t="inlineStr">
        <is>
          <t>MISUMI / Würth / RS</t>
        </is>
      </c>
      <c r="C56" s="9" t="n">
        <v>0.07000000000000001</v>
      </c>
      <c r="D56" s="10" t="n">
        <v>0.22</v>
      </c>
      <c r="E56" s="9">
        <f>C56*D56</f>
        <v/>
      </c>
      <c r="F56" s="8" t="n">
        <v>12</v>
      </c>
      <c r="G56" s="9">
        <f>(C56+E56)*F56</f>
        <v/>
      </c>
      <c r="H56" s="8" t="n"/>
      <c r="I56" s="8" t="n"/>
      <c r="J56" s="8" t="n"/>
      <c r="K56" s="8" t="n"/>
      <c r="L56" s="8" t="n"/>
      <c r="M56" s="8" t="n"/>
      <c r="N56" s="7" t="inlineStr">
        <is>
          <t>Six installed on each RS05 neck actuator, two actuators total. Thread length is 20 mm; head excluded.</t>
        </is>
      </c>
      <c r="O56" s="7" t="inlineStr">
        <is>
          <t>Standard ISO 4762/DIN 912 size. Approximate single-screw mass 2.85 g. Mass is already included in the RS05 CAD assembly mass; do not double-count it in the BOM mass total.</t>
        </is>
      </c>
      <c r="P56" s="8" t="inlineStr">
        <is>
          <t>Mechanical</t>
        </is>
      </c>
      <c r="Q56" s="11" t="inlineStr">
        <is>
          <t>https://it.misumi-ec.com/vona2/detail/110302217940/?HissuCode=CB4-20</t>
        </is>
      </c>
      <c r="R56" s="8" t="inlineStr">
        <is>
          <t>Phase 1</t>
        </is>
      </c>
      <c r="S56" s="8" t="n"/>
      <c r="T56" s="8" t="n"/>
    </row>
    <row r="57" hidden="1">
      <c r="A57" s="3" t="inlineStr">
        <is>
          <t>[CATALOG qty0] ISO 4762 socket-head cap screw M4 x 25 mm, steel, full thread</t>
        </is>
      </c>
      <c r="B57" s="4" t="inlineStr">
        <is>
          <t>MISUMI / Würth / RS</t>
        </is>
      </c>
      <c r="C57" s="5" t="n">
        <v>0.08</v>
      </c>
      <c r="D57" s="6" t="n">
        <v>0.22</v>
      </c>
      <c r="E57" s="5">
        <f>C57*D57</f>
        <v/>
      </c>
      <c r="F57" s="4" t="n">
        <v>0</v>
      </c>
      <c r="G57" s="5">
        <f>(C57+E57)*F57</f>
        <v/>
      </c>
      <c r="H57" s="4" t="n"/>
      <c r="I57" s="4" t="n"/>
      <c r="J57" s="4" t="n"/>
      <c r="K57" s="4" t="n"/>
      <c r="L57" s="4" t="n"/>
      <c r="M57" s="4" t="n"/>
      <c r="N57" s="3" t="inlineStr">
        <is>
          <t>Widely available standard M4 length; thread length 25 mm, head excluded.</t>
        </is>
      </c>
      <c r="O57" s="3" t="inlineStr">
        <is>
          <t>Catalog option only until a CAD joint needs it. Use a true standard 20 or 25 mm length instead of an uncommon fractional length.</t>
        </is>
      </c>
      <c r="P57" s="4" t="inlineStr">
        <is>
          <t>Mechanical</t>
        </is>
      </c>
      <c r="Q57" s="4" t="inlineStr">
        <is>
          <t>https://it.misumi-ec.com/vona2/detail/110302217940/?HissuCode=CB4-25</t>
        </is>
      </c>
      <c r="R57" s="4" t="inlineStr">
        <is>
          <t>Phase 1</t>
        </is>
      </c>
      <c r="S57" s="4" t="n"/>
      <c r="T57" s="4" t="n"/>
    </row>
    <row r="58">
      <c r="A58" s="7" t="inlineStr">
        <is>
          <t>Loctite 243 medium-strength threadlocker</t>
        </is>
      </c>
      <c r="B58" s="8" t="inlineStr">
        <is>
          <t>Amazon</t>
        </is>
      </c>
      <c r="C58" s="9" t="n">
        <v>10</v>
      </c>
      <c r="D58" s="10" t="n">
        <v>0.22</v>
      </c>
      <c r="E58" s="9">
        <f>C58*D58</f>
        <v/>
      </c>
      <c r="F58" s="8" t="n">
        <v>1</v>
      </c>
      <c r="G58" s="9">
        <f>(C58+E58)*F58</f>
        <v/>
      </c>
      <c r="H58" s="8" t="n"/>
      <c r="I58" s="8" t="n"/>
      <c r="J58" s="8" t="n"/>
      <c r="K58" s="8" t="n"/>
      <c r="L58" s="8" t="n"/>
      <c r="M58" s="8" t="n"/>
      <c r="N58" s="7" t="inlineStr">
        <is>
          <t>Threadlocker for screws exposed to vibration.</t>
        </is>
      </c>
      <c r="O58" s="7" t="inlineStr">
        <is>
          <t>Use on selected shoulder-screw nuts and structural fasteners after confirming material compatibility.</t>
        </is>
      </c>
      <c r="P58" s="8" t="inlineStr">
        <is>
          <t>Mechanical</t>
        </is>
      </c>
      <c r="Q58" s="11" t="inlineStr">
        <is>
          <t>https://www.amazon.it/Loctite-243-Frenafiletti-resistenza-azione/dp/B003ZUXQIA</t>
        </is>
      </c>
      <c r="R58" s="8" t="inlineStr">
        <is>
          <t>Phase 1</t>
        </is>
      </c>
      <c r="S58" s="8" t="n"/>
      <c r="T58" s="8" t="n"/>
    </row>
    <row r="59" ht="20" customHeight="1">
      <c r="A59" s="2" t="inlineStr">
        <is>
          <t>2 - LEG MOTORS - Unitree G1 29-DOF baseline, single RobStride ecosystem</t>
        </is>
      </c>
    </row>
    <row r="60">
      <c r="A60" s="7" t="inlineStr">
        <is>
          <t>RobStride 04 - legs: hip pitch/roll + knee (3/leg)</t>
        </is>
      </c>
      <c r="B60" s="8" t="inlineStr">
        <is>
          <t>Seeed / RobStride</t>
        </is>
      </c>
      <c r="C60" s="9" t="n">
        <v>235</v>
      </c>
      <c r="D60" s="10" t="n">
        <v>0.22</v>
      </c>
      <c r="E60" s="9">
        <f>C60*D60</f>
        <v/>
      </c>
      <c r="F60" s="8" t="n">
        <v>6</v>
      </c>
      <c r="G60" s="9">
        <f>(C60+E60)*F60</f>
        <v/>
      </c>
      <c r="H60" s="8" t="n"/>
      <c r="I60" s="8" t="n"/>
      <c r="J60" s="8" t="n"/>
      <c r="K60" s="8" t="n"/>
      <c r="L60" s="8" t="n"/>
      <c r="M60" s="8" t="n"/>
      <c r="N60" s="7" t="inlineStr">
        <is>
          <t>Axes: hip pitch/roll + knee, 3 per leg. RobStride PDF 2025-06-26 dimensions: OD 120 mm, length 56 mm. Weight: 1.420 kg. RobStride torque: 40 Nm rated, 120 Nm peak.</t>
        </is>
      </c>
      <c r="O60" s="7" t="inlineStr">
        <is>
          <t>G1 mode_11 reference: hip pitch/roll and knee 139 Nm. RS04 is the strongest RobStride model but is still 0.86x of the G1 139 Nm reference; accept this knowingly or leave the RobStride range. Hip yaw is RS03 in the current balanced configuration.</t>
        </is>
      </c>
      <c r="P60" s="8" t="inlineStr">
        <is>
          <t>Motors</t>
        </is>
      </c>
      <c r="Q60" s="11" t="inlineStr">
        <is>
          <t>https://www.seeedstudio.com/Robostride-04-Actuator-p-6775.html</t>
        </is>
      </c>
      <c r="R60" s="8" t="inlineStr">
        <is>
          <t>Phase 2</t>
        </is>
      </c>
      <c r="S60" s="12" t="n">
        <v>8.715999999999999</v>
      </c>
      <c r="T60" s="11" t="inlineStr">
        <is>
          <t>https://www.seeedstudio.com/Robostride-04-Actuator-p-6775.html</t>
        </is>
      </c>
    </row>
    <row r="61">
      <c r="A61" s="7" t="inlineStr">
        <is>
          <t>RobStride 03 - leg hip yaw (1/leg)</t>
        </is>
      </c>
      <c r="B61" s="8" t="inlineStr">
        <is>
          <t>Seeed / RobStride</t>
        </is>
      </c>
      <c r="C61" s="9" t="n">
        <v>214</v>
      </c>
      <c r="D61" s="10" t="n">
        <v>0.22</v>
      </c>
      <c r="E61" s="9">
        <f>C61*D61</f>
        <v/>
      </c>
      <c r="F61" s="8" t="n">
        <v>2</v>
      </c>
      <c r="G61" s="9">
        <f>(C61+E61)*F61</f>
        <v/>
      </c>
      <c r="H61" s="8" t="n"/>
      <c r="I61" s="8" t="n"/>
      <c r="J61" s="8" t="n"/>
      <c r="K61" s="8" t="n"/>
      <c r="L61" s="8" t="n"/>
      <c r="M61" s="8" t="n"/>
      <c r="N61" s="7" t="inlineStr">
        <is>
          <t>Axis: hip yaw, 1 per leg. RobStride PDF 2025-06-26 dimensions: OD 98 mm, length 54.1 mm. Weight: 0.900 kg. RobStride torque: 20 Nm rated, 60 Nm peak.</t>
        </is>
      </c>
      <c r="O61" s="7" t="inlineStr">
        <is>
          <t>G1 mode_11 reference: hip yaw 88 Nm. This is a mostly vertical yaw axis, so gravity torque is near zero and demand is mainly dynamic. RS03 was chosen over RS06 because the estimated aggressive turn at ~45 kg mass was close to the RS06 36 Nm peak limit. ATTENZIONE 2026-07-18: il CAD corrente monta RS06 (36 Nm peak) su hip yaw; questa riga RS03 resta l'intento di acquisto finche' il SIM GATE non decide: log della coppia hip-yaw in curva su Isaac a ~32+ kg; se satura a 36 Nm si ordina RS03 and si adegua il CAD, altrimenti si declassa questa riga a RS06.</t>
        </is>
      </c>
      <c r="P61" s="8" t="inlineStr">
        <is>
          <t>Motors</t>
        </is>
      </c>
      <c r="Q61" s="11" t="inlineStr">
        <is>
          <t>https://www.seeedstudio.com/Robostride-03-Actuator-p-6774.html</t>
        </is>
      </c>
      <c r="R61" s="8" t="inlineStr">
        <is>
          <t>Phase 2</t>
        </is>
      </c>
      <c r="S61" s="12" t="n">
        <v>1.825</v>
      </c>
      <c r="T61" s="11" t="inlineStr">
        <is>
          <t>https://www.seeedstudio.com/Robostride-03-Actuator-p-6774.html</t>
        </is>
      </c>
    </row>
    <row r="62">
      <c r="A62" s="7" t="inlineStr">
        <is>
          <t>RobStride 06 - ankle pushrod/differential drive A/B (2/leg)</t>
        </is>
      </c>
      <c r="B62" s="8" t="inlineStr">
        <is>
          <t>Seeed / RobStride</t>
        </is>
      </c>
      <c r="C62" s="9" t="n">
        <v>200</v>
      </c>
      <c r="D62" s="10" t="n">
        <v>0.22</v>
      </c>
      <c r="E62" s="9">
        <f>C62*D62</f>
        <v/>
      </c>
      <c r="F62" s="8" t="n">
        <v>4</v>
      </c>
      <c r="G62" s="9">
        <f>(C62+E62)*F62</f>
        <v/>
      </c>
      <c r="H62" s="8" t="n"/>
      <c r="I62" s="8" t="n"/>
      <c r="J62" s="8" t="n"/>
      <c r="K62" s="8" t="n"/>
      <c r="L62" s="8" t="n"/>
      <c r="M62" s="8" t="n"/>
      <c r="N62" s="7" t="inlineStr">
        <is>
          <t>Physical ankle actuators A/B: 2 motors per leg in the shin, acting through two pushrods. Do not label them as direct pitch/roll motors in CAD: virtual pitch and roll come from geometry and the A/B mixing map. RobStride PDF 2025-06-26 dimensions: OD 88 mm, length 49 mm. Weight: 0.621 kg. RobStride torque: 11 Nm rated, 36 Nm peak.</t>
        </is>
      </c>
      <c r="O62" s="7" t="inlineStr">
        <is>
          <t>G1 mode_11 reference: 35 Nm per virtual ankle axis. With two RS06 motors, ideal pitch torque can sum up to 72 Nm peak before linkage losses; roll uses the difference/combined torque through the real linkage matrix. CAD still has to close the crank/foot ratio and motor-to-pitch/roll conditioning.</t>
        </is>
      </c>
      <c r="P62" s="8" t="inlineStr">
        <is>
          <t>Motors</t>
        </is>
      </c>
      <c r="Q62" s="11" t="inlineStr">
        <is>
          <t>https://www.seeedstudio.com/Robostride-06-Actuator-p-6668.html</t>
        </is>
      </c>
      <c r="R62" s="8" t="inlineStr">
        <is>
          <t>Phase 2</t>
        </is>
      </c>
      <c r="S62" s="12" t="n">
        <v>2.572</v>
      </c>
      <c r="T62" s="11" t="inlineStr">
        <is>
          <t>https://www.seeedstudio.com/Robostride-06-Actuator-p-6668.html</t>
        </is>
      </c>
    </row>
    <row r="63" hidden="1">
      <c r="A63" s="3" t="inlineStr">
        <is>
          <t>[ALT qty0] RobStride 00 - lighter ankle option with about 2:1 mechanical advantage (2/leg)</t>
        </is>
      </c>
      <c r="B63" s="4" t="inlineStr">
        <is>
          <t>Seeed / RobStride</t>
        </is>
      </c>
      <c r="C63" s="5" t="n">
        <v>116</v>
      </c>
      <c r="D63" s="6" t="n">
        <v>0.22</v>
      </c>
      <c r="E63" s="5">
        <f>C63*D63</f>
        <v/>
      </c>
      <c r="F63" s="4" t="n">
        <v>0</v>
      </c>
      <c r="G63" s="5">
        <f>(C63+E63)*F63</f>
        <v/>
      </c>
      <c r="H63" s="4" t="n"/>
      <c r="I63" s="4" t="n"/>
      <c r="J63" s="4" t="n"/>
      <c r="K63" s="4" t="n"/>
      <c r="L63" s="4" t="n"/>
      <c r="M63" s="4" t="n"/>
      <c r="N63" s="3" t="inlineStr">
        <is>
          <t>Light ankle alternative: 2 motors per leg through pushrods. RobStride PDF 2025-06-26 dimensions: OD 57 mm, length 51 mm. Weight: 0.310 kg. RobStride torque: 5 Nm rated, 14 Nm peak.</t>
        </is>
      </c>
      <c r="O63" s="3" t="inlineStr">
        <is>
          <t>G1 mode_11 reference: 35 Nm per virtual ankle axis. Only suitable for calm walking with about 2:1 mechanical advantage and verified pushrod forces. Saves 1.244 kg versus four RS06 motors but reduces speed and toe-off margin. Not selected in the balanced configuration.</t>
        </is>
      </c>
      <c r="P63" s="4" t="inlineStr">
        <is>
          <t>Motors</t>
        </is>
      </c>
      <c r="Q63" s="4" t="inlineStr">
        <is>
          <t>https://www.seeedstudio.com/Robostride-00-Actuator-p-6664.html</t>
        </is>
      </c>
      <c r="R63" s="4" t="inlineStr">
        <is>
          <t>Phase 1</t>
        </is>
      </c>
      <c r="S63" s="13" t="n">
        <v>0</v>
      </c>
      <c r="T63" s="4" t="inlineStr">
        <is>
          <t>https://www.seeedstudio.com/Robostride-00-Actuator-p-6664.html</t>
        </is>
      </c>
    </row>
    <row r="64" ht="20" customHeight="1">
      <c r="A64" s="2" t="inlineStr">
        <is>
          <t>2b - UPPER BODY - direct serial waist roll+yaw + mode_11 arms + G1-Comp neck</t>
        </is>
      </c>
    </row>
    <row r="65">
      <c r="A65" s="7" t="inlineStr">
        <is>
          <t>RobStride 06 - G1 waist yaw</t>
        </is>
      </c>
      <c r="B65" s="8" t="inlineStr">
        <is>
          <t>Seeed / RobStride</t>
        </is>
      </c>
      <c r="C65" s="9" t="n">
        <v>200</v>
      </c>
      <c r="D65" s="10" t="n">
        <v>0.22</v>
      </c>
      <c r="E65" s="9">
        <f>C65*D65</f>
        <v/>
      </c>
      <c r="F65" s="8" t="n">
        <v>1</v>
      </c>
      <c r="G65" s="9">
        <f>(C65+E65)*F65</f>
        <v/>
      </c>
      <c r="H65" s="8" t="n"/>
      <c r="I65" s="8" t="n"/>
      <c r="J65" s="8" t="n"/>
      <c r="K65" s="8" t="n"/>
      <c r="L65" s="8" t="n"/>
      <c r="M65" s="8" t="n"/>
      <c r="N65" s="7" t="inlineStr">
        <is>
          <t>Axis: waist yaw, vertical motor mounted above the lower waist-roll stage and rotating the torso/yaw assembly. RobStride PDF 2025-06-26 dimensions: OD 88 mm, length 49 mm. Weight: 0.621 kg. RobStride torque: 11 Nm rated, 36 Nm peak.</t>
        </is>
      </c>
      <c r="O65" s="7" t="inlineStr">
        <is>
          <t>G1 mode_11 reference: waist yaw 88 Nm. RS06 downgrade checked: this is a mostly vertical yaw axis with near-zero gravity torque; estimated torso twist is about 28 Nm, below the 36 Nm peak. Current CAD order: roll below yaw, no waist pitch, no waist pushrods.</t>
        </is>
      </c>
      <c r="P65" s="8" t="inlineStr">
        <is>
          <t>Upper motors</t>
        </is>
      </c>
      <c r="Q65" s="11" t="inlineStr">
        <is>
          <t>https://www.seeedstudio.com/Robostride-06-Actuator-p-6668.html</t>
        </is>
      </c>
      <c r="R65" s="8" t="inlineStr">
        <is>
          <t>Phase 3</t>
        </is>
      </c>
      <c r="S65" s="12" t="n">
        <v>0.643</v>
      </c>
      <c r="T65" s="11" t="inlineStr">
        <is>
          <t>https://www.seeedstudio.com/Robostride-06-Actuator-p-6668.html</t>
        </is>
      </c>
    </row>
    <row r="66">
      <c r="A66" s="7" t="inlineStr">
        <is>
          <t>RobStride 03 - direct serial waist roll below yaw</t>
        </is>
      </c>
      <c r="B66" s="8" t="inlineStr">
        <is>
          <t>Seeed / RobStride</t>
        </is>
      </c>
      <c r="C66" s="9" t="n">
        <v>210</v>
      </c>
      <c r="D66" s="10" t="n">
        <v>0.22</v>
      </c>
      <c r="E66" s="9">
        <f>C66*D66</f>
        <v/>
      </c>
      <c r="F66" s="8" t="n">
        <v>1</v>
      </c>
      <c r="G66" s="9">
        <f>(C66+E66)*F66</f>
        <v/>
      </c>
      <c r="H66" s="8" t="n"/>
      <c r="I66" s="8" t="n"/>
      <c r="J66" s="8" t="n"/>
      <c r="K66" s="8" t="n"/>
      <c r="L66" s="8" t="n"/>
      <c r="M66" s="8" t="n"/>
      <c r="N66" s="7" t="inlineStr">
        <is>
          <t>Axis: waist roll, direct front-back axis mounted below the yaw joint. RobStride PDF 2025-06-26 dimensions: OD 98 mm, length 54.1 mm. Weight: 0.900 kg. RobStride torque: 20 Nm rated, 60 Nm peak.</t>
        </is>
      </c>
      <c r="O66" s="7" t="inlineStr">
        <is>
          <t>G1 mode_11 reference: waist roll 35 Nm. Current CAD order from user update 2026-06-27: waist roll below yaw, no waist pitch; torso pitch comes from the hips. Model the serial order explicitly because placing roll below yaw means the yaw assembly rides on the roll joint.</t>
        </is>
      </c>
      <c r="P66" s="8" t="inlineStr">
        <is>
          <t>Upper motors</t>
        </is>
      </c>
      <c r="Q66" s="11" t="inlineStr">
        <is>
          <t>https://www.seeedstudio.com/Robostride-03-Actuator-p-6774.html</t>
        </is>
      </c>
      <c r="R66" s="8" t="inlineStr">
        <is>
          <t>Phase 3</t>
        </is>
      </c>
      <c r="S66" s="12" t="n">
        <v>0.913</v>
      </c>
      <c r="T66" s="11" t="inlineStr">
        <is>
          <t>https://www.seeedstudio.com/Robostride-03-Actuator-p-6774.html</t>
        </is>
      </c>
    </row>
    <row r="67">
      <c r="A67" s="7" t="inlineStr">
        <is>
          <t>RobStride 06 - proximal shoulder pitch/roll (2/arm) - RIGHT arm</t>
        </is>
      </c>
      <c r="B67" s="8" t="inlineStr">
        <is>
          <t>Seeed / RobStride</t>
        </is>
      </c>
      <c r="C67" s="9" t="n">
        <v>200</v>
      </c>
      <c r="D67" s="10" t="n">
        <v>0.22</v>
      </c>
      <c r="E67" s="9">
        <f>C67*D67</f>
        <v/>
      </c>
      <c r="F67" s="8" t="n">
        <v>2</v>
      </c>
      <c r="G67" s="9">
        <f>(C67+E67)*F67</f>
        <v/>
      </c>
      <c r="H67" s="8" t="n"/>
      <c r="I67" s="8" t="n"/>
      <c r="J67" s="8" t="n"/>
      <c r="K67" s="8" t="n"/>
      <c r="L67" s="8" t="n"/>
      <c r="M67" s="8" t="n"/>
      <c r="N67" s="7" t="inlineStr">
        <is>
          <t>Axes: proximal shoulder pitch/roll, 2 per arm. RobStride PDF 2025-06-26 dimensions: OD 88 mm, length 49 mm. Weight: 0.621 kg. RobStride torque: 11 Nm rated, 36 Nm peak.</t>
        </is>
      </c>
      <c r="O67" s="7" t="inlineStr">
        <is>
          <t>G1 mode_11 reference: shoulder pitch/roll 25 Nm per axis. With a horizontal arm and 1 kg payload, updated static estimate is about 10.8 Nm: RS06 is almost exactly at continuous rating and exceeds G1 at peak. RS00 would not hold this pose continuously.</t>
        </is>
      </c>
      <c r="P67" s="8" t="inlineStr">
        <is>
          <t>Upper motors</t>
        </is>
      </c>
      <c r="Q67" s="11" t="inlineStr">
        <is>
          <t>https://www.seeedstudio.com/Robostride-06-Actuator-p-6668.html</t>
        </is>
      </c>
      <c r="R67" s="8" t="inlineStr">
        <is>
          <t>Phase 1</t>
        </is>
      </c>
      <c r="S67" s="12" t="n">
        <v>1.286</v>
      </c>
      <c r="T67" s="11" t="inlineStr">
        <is>
          <t>https://www.seeedstudio.com/Robostride-06-Actuator-p-6668.html</t>
        </is>
      </c>
    </row>
    <row r="68">
      <c r="A68" s="7" t="inlineStr">
        <is>
          <t>RobStride 06 - proximal shoulder pitch/roll (2/arm) - LEFT arm</t>
        </is>
      </c>
      <c r="B68" s="8" t="inlineStr">
        <is>
          <t>Seeed / RobStride</t>
        </is>
      </c>
      <c r="C68" s="9" t="n">
        <v>200</v>
      </c>
      <c r="D68" s="10" t="n">
        <v>0.22</v>
      </c>
      <c r="E68" s="9">
        <f>C68*D68</f>
        <v/>
      </c>
      <c r="F68" s="8" t="n">
        <v>2</v>
      </c>
      <c r="G68" s="9">
        <f>(C68+E68)*F68</f>
        <v/>
      </c>
      <c r="H68" s="8" t="n"/>
      <c r="I68" s="8" t="n"/>
      <c r="J68" s="8" t="n"/>
      <c r="K68" s="8" t="n"/>
      <c r="L68" s="8" t="n"/>
      <c r="M68" s="8" t="n"/>
      <c r="N68" s="7" t="inlineStr">
        <is>
          <t>Axes: proximal shoulder pitch/roll, 2 per arm. RobStride PDF 2025-06-26 dimensions: OD 88 mm, length 49 mm. Weight: 0.621 kg. RobStride torque: 11 Nm rated, 36 Nm peak.</t>
        </is>
      </c>
      <c r="O68" s="7" t="inlineStr">
        <is>
          <t>G1 mode_11 reference: shoulder pitch/roll 25 Nm per axis. With a horizontal arm and 1 kg payload, updated static estimate is about 10.8 Nm: RS06 is almost exactly at continuous rating and exceeds G1 at peak. RS00 would not hold this pose continuously.</t>
        </is>
      </c>
      <c r="P68" s="8" t="inlineStr">
        <is>
          <t>Upper motors</t>
        </is>
      </c>
      <c r="Q68" s="11" t="inlineStr">
        <is>
          <t>https://www.seeedstudio.com/Robostride-06-Actuator-p-6668.html</t>
        </is>
      </c>
      <c r="R68" s="8" t="inlineStr">
        <is>
          <t>Phase 3</t>
        </is>
      </c>
      <c r="S68" s="12" t="n">
        <v>1.286</v>
      </c>
      <c r="T68" s="11" t="inlineStr">
        <is>
          <t>https://www.seeedstudio.com/Robostride-06-Actuator-p-6668.html</t>
        </is>
      </c>
    </row>
    <row r="69" hidden="1">
      <c r="A69" s="3" t="inlineStr">
        <is>
          <t>[ALT qty0] RobStride 00 - shoulder pitch/roll alleggerita (2/arm)</t>
        </is>
      </c>
      <c r="B69" s="4" t="inlineStr">
        <is>
          <t>Seeed / RobStride</t>
        </is>
      </c>
      <c r="C69" s="5" t="n">
        <v>116</v>
      </c>
      <c r="D69" s="6" t="n">
        <v>0.22</v>
      </c>
      <c r="E69" s="5">
        <f>C69*D69</f>
        <v/>
      </c>
      <c r="F69" s="4" t="n">
        <v>0</v>
      </c>
      <c r="G69" s="5">
        <f>(C69+E69)*F69</f>
        <v/>
      </c>
      <c r="H69" s="4" t="n"/>
      <c r="I69" s="4" t="n"/>
      <c r="J69" s="4" t="n"/>
      <c r="K69" s="4" t="n"/>
      <c r="L69" s="4" t="n"/>
      <c r="M69" s="4" t="n"/>
      <c r="N69" s="3" t="inlineStr">
        <is>
          <t>Axes: alternative leggera shoulder pitch/roll. Dimensions: 57 x 57 x 51 mm. Weight: 0.310 kg. Torque RobStride: 5 Nm rated, 14 Nm peak.</t>
        </is>
      </c>
      <c r="O69" s="3" t="inlineStr">
        <is>
          <t>Reference G1 mode_11: shoulder pitch/roll 25 Nm per axis. Risparmierebbe 1.244 kg sui quattro giunti ma non puo tenere continuativamente il arm orizzontale with payload 1 kg. Mantenuta solo come alternative per braccia molto leggere and pose intermittenti.</t>
        </is>
      </c>
      <c r="P69" s="4" t="inlineStr">
        <is>
          <t>Upper motors</t>
        </is>
      </c>
      <c r="Q69" s="4" t="inlineStr">
        <is>
          <t>https://www.seeedstudio.com/Robostride-00-Actuator-p-6664.html</t>
        </is>
      </c>
      <c r="R69" s="4" t="inlineStr">
        <is>
          <t>Phase 3</t>
        </is>
      </c>
      <c r="S69" s="13" t="n">
        <v>0</v>
      </c>
      <c r="T69" s="4" t="inlineStr">
        <is>
          <t>https://www.seeedstudio.com/Robostride-00-Actuator-p-6664.html</t>
        </is>
      </c>
    </row>
    <row r="70">
      <c r="A70" s="7" t="inlineStr">
        <is>
          <t>RobStride 00 - light shoulder yaw (1/arm) - RIGHT arm</t>
        </is>
      </c>
      <c r="B70" s="8" t="inlineStr">
        <is>
          <t>Seeed / RobStride</t>
        </is>
      </c>
      <c r="C70" s="9" t="n">
        <v>116</v>
      </c>
      <c r="D70" s="10" t="n">
        <v>0.22</v>
      </c>
      <c r="E70" s="9">
        <f>C70*D70</f>
        <v/>
      </c>
      <c r="F70" s="8" t="n">
        <v>1</v>
      </c>
      <c r="G70" s="9">
        <f>(C70+E70)*F70</f>
        <v/>
      </c>
      <c r="H70" s="8" t="n"/>
      <c r="I70" s="8" t="n"/>
      <c r="J70" s="8" t="n"/>
      <c r="K70" s="8" t="n"/>
      <c r="L70" s="8" t="n"/>
      <c r="M70" s="8" t="n"/>
      <c r="N70" s="7" t="inlineStr">
        <is>
          <t>Axis: shoulder yaw, the most distal shoulder axis. RobStride PDF 2025-06-26 dimensions: OD 57 mm, length 51 mm. Weight: 0.310 kg. RobStride torque: 5 Nm rated, 14 Nm peak.</t>
        </is>
      </c>
      <c r="O70" s="7" t="inlineStr">
        <is>
          <t>G1 mode_11 reference: shoulder yaw 25 Nm. Downgrade to RS00 checked: yaw rotates the upper arm around its own axis, so gravity load is near zero in the resting vertical pose; expected demand is about 4-6 Nm. RS00 covers it and stays compact.</t>
        </is>
      </c>
      <c r="P70" s="8" t="inlineStr">
        <is>
          <t>Upper motors</t>
        </is>
      </c>
      <c r="Q70" s="11" t="inlineStr">
        <is>
          <t>https://www.seeedstudio.com/Robostride-00-Actuator-p-6664.html</t>
        </is>
      </c>
      <c r="R70" s="8" t="inlineStr">
        <is>
          <t>Phase 1</t>
        </is>
      </c>
      <c r="S70" s="12" t="n">
        <v>0.323</v>
      </c>
      <c r="T70" s="11" t="inlineStr">
        <is>
          <t>https://www.seeedstudio.com/Robostride-00-Actuator-p-6664.html</t>
        </is>
      </c>
    </row>
    <row r="71">
      <c r="A71" s="7" t="inlineStr">
        <is>
          <t>RobStride 00 - light shoulder yaw (1/arm) - LEFT arm</t>
        </is>
      </c>
      <c r="B71" s="8" t="inlineStr">
        <is>
          <t>Seeed / RobStride</t>
        </is>
      </c>
      <c r="C71" s="9" t="n">
        <v>116</v>
      </c>
      <c r="D71" s="10" t="n">
        <v>0.22</v>
      </c>
      <c r="E71" s="9">
        <f>C71*D71</f>
        <v/>
      </c>
      <c r="F71" s="8" t="n">
        <v>1</v>
      </c>
      <c r="G71" s="9">
        <f>(C71+E71)*F71</f>
        <v/>
      </c>
      <c r="H71" s="8" t="n"/>
      <c r="I71" s="8" t="n"/>
      <c r="J71" s="8" t="n"/>
      <c r="K71" s="8" t="n"/>
      <c r="L71" s="8" t="n"/>
      <c r="M71" s="8" t="n"/>
      <c r="N71" s="7" t="inlineStr">
        <is>
          <t>Axis: shoulder yaw, the most distal shoulder axis. RobStride PDF 2025-06-26 dimensions: OD 57 mm, length 51 mm. Weight: 0.310 kg. RobStride torque: 5 Nm rated, 14 Nm peak.</t>
        </is>
      </c>
      <c r="O71" s="7" t="inlineStr">
        <is>
          <t>G1 mode_11 reference: shoulder yaw 25 Nm. Downgrade to RS00 checked: yaw rotates the upper arm around its own axis, so gravity load is near zero in the resting vertical pose; expected demand is about 4-6 Nm. RS00 covers it and stays compact.</t>
        </is>
      </c>
      <c r="P71" s="8" t="inlineStr">
        <is>
          <t>Upper motors</t>
        </is>
      </c>
      <c r="Q71" s="11" t="inlineStr">
        <is>
          <t>https://www.seeedstudio.com/Robostride-00-Actuator-p-6664.html</t>
        </is>
      </c>
      <c r="R71" s="8" t="inlineStr">
        <is>
          <t>Phase 3</t>
        </is>
      </c>
      <c r="S71" s="12" t="n">
        <v>0.323</v>
      </c>
      <c r="T71" s="11" t="inlineStr">
        <is>
          <t>https://www.seeedstudio.com/Robostride-00-Actuator-p-6664.html</t>
        </is>
      </c>
    </row>
    <row r="72" hidden="1">
      <c r="A72" s="3" t="inlineStr">
        <is>
          <t>[SECOND CHOICE qty0] RobStride 06 - shoulder yaw piu robusta (1/arm)</t>
        </is>
      </c>
      <c r="B72" s="4" t="inlineStr">
        <is>
          <t>Seeed / RobStride</t>
        </is>
      </c>
      <c r="C72" s="5" t="n">
        <v>200</v>
      </c>
      <c r="D72" s="6" t="n">
        <v>0.22</v>
      </c>
      <c r="E72" s="5">
        <f>C72*D72</f>
        <v/>
      </c>
      <c r="F72" s="4" t="n">
        <v>0</v>
      </c>
      <c r="G72" s="5">
        <f>(C72+E72)*F72</f>
        <v/>
      </c>
      <c r="H72" s="4" t="n"/>
      <c r="I72" s="4" t="n"/>
      <c r="J72" s="4" t="n"/>
      <c r="K72" s="4" t="n"/>
      <c r="L72" s="4" t="n"/>
      <c r="M72" s="4" t="n"/>
      <c r="N72" s="3" t="inlineStr">
        <is>
          <t>Axis: shoulder yaw, alternative piu robusta. Dimensions: 88 x 88 x 49 mm. Weight: 0.621 kg. Torque RobStride: 11 Nm rated, 36 Nm peak.</t>
        </is>
      </c>
      <c r="O72" s="3" t="inlineStr">
        <is>
          <t>Reference G1 mode_11: shoulder yaw 25 Nm. Riattivare se la shoulder yaw deve muovere carichi a arm esteso o serve piu coppia/rigidita. Salto diretto RS00-&gt;RS06 (RS02 eliminato: dominato, quasi grosso come RS06 ma meta' coppia).</t>
        </is>
      </c>
      <c r="P72" s="4" t="inlineStr">
        <is>
          <t>Upper motors</t>
        </is>
      </c>
      <c r="Q72" s="4" t="inlineStr">
        <is>
          <t>https://www.seeedstudio.com/Robostride-06-Actuator-p-6668.html</t>
        </is>
      </c>
      <c r="R72" s="4" t="inlineStr">
        <is>
          <t>Phase 3</t>
        </is>
      </c>
      <c r="S72" s="13" t="n">
        <v>0</v>
      </c>
      <c r="T72" s="4" t="inlineStr">
        <is>
          <t>https://www.seeedstudio.com/Robostride-06-Actuator-p-6668.html</t>
        </is>
      </c>
    </row>
    <row r="73">
      <c r="A73" s="7" t="inlineStr">
        <is>
          <t>RobStride 06 - elbow (1/arm) - RIGHT arm</t>
        </is>
      </c>
      <c r="B73" s="8" t="inlineStr">
        <is>
          <t>Seeed / RobStride</t>
        </is>
      </c>
      <c r="C73" s="9" t="n">
        <v>200</v>
      </c>
      <c r="D73" s="10" t="n">
        <v>0.22</v>
      </c>
      <c r="E73" s="9">
        <f>C73*D73</f>
        <v/>
      </c>
      <c r="F73" s="8" t="n">
        <v>1</v>
      </c>
      <c r="G73" s="9">
        <f>(C73+E73)*F73</f>
        <v/>
      </c>
      <c r="H73" s="8" t="n"/>
      <c r="I73" s="8" t="n"/>
      <c r="J73" s="8" t="n"/>
      <c r="K73" s="8" t="n"/>
      <c r="L73" s="8" t="n"/>
      <c r="M73" s="8" t="n"/>
      <c r="N73" s="7" t="inlineStr">
        <is>
          <t>Axis: elbow, 1 per arm. RobStride PDF 2025-06-26 dimensions: OD 88 mm, length 49 mm. Weight: 0.621 kg. RobStride torque: 11 Nm rated, 36 Nm peak.</t>
        </is>
      </c>
      <c r="O73" s="7" t="inlineStr">
        <is>
          <t>G1 mode_11 reference: elbow 25 Nm. Static estimate is about 4.4 Nm with 1 kg payload and 6.6 Nm with 2 kg; RS06 keeps continuous and dynamic margin. RS00 would save 0.622 kg total but would already sit close to rated torque with 1 kg.</t>
        </is>
      </c>
      <c r="P73" s="8" t="inlineStr">
        <is>
          <t>Upper motors</t>
        </is>
      </c>
      <c r="Q73" s="11" t="inlineStr">
        <is>
          <t>https://www.seeedstudio.com/Robostride-06-Actuator-p-6668.html</t>
        </is>
      </c>
      <c r="R73" s="8" t="inlineStr">
        <is>
          <t>Phase 1</t>
        </is>
      </c>
      <c r="S73" s="12" t="n">
        <v>0.643</v>
      </c>
      <c r="T73" s="11" t="inlineStr">
        <is>
          <t>https://www.seeedstudio.com/Robostride-06-Actuator-p-6668.html</t>
        </is>
      </c>
    </row>
    <row r="74">
      <c r="A74" s="7" t="inlineStr">
        <is>
          <t>RobStride 06 - elbow (1/arm) - LEFT arm</t>
        </is>
      </c>
      <c r="B74" s="8" t="inlineStr">
        <is>
          <t>Seeed / RobStride</t>
        </is>
      </c>
      <c r="C74" s="9" t="n">
        <v>200</v>
      </c>
      <c r="D74" s="10" t="n">
        <v>0.22</v>
      </c>
      <c r="E74" s="9">
        <f>C74*D74</f>
        <v/>
      </c>
      <c r="F74" s="8" t="n">
        <v>1</v>
      </c>
      <c r="G74" s="9">
        <f>(C74+E74)*F74</f>
        <v/>
      </c>
      <c r="H74" s="8" t="n"/>
      <c r="I74" s="8" t="n"/>
      <c r="J74" s="8" t="n"/>
      <c r="K74" s="8" t="n"/>
      <c r="L74" s="8" t="n"/>
      <c r="M74" s="8" t="n"/>
      <c r="N74" s="7" t="inlineStr">
        <is>
          <t>Axis: elbow, 1 per arm. RobStride PDF 2025-06-26 dimensions: OD 88 mm, length 49 mm. Weight: 0.621 kg. RobStride torque: 11 Nm rated, 36 Nm peak.</t>
        </is>
      </c>
      <c r="O74" s="7" t="inlineStr">
        <is>
          <t>G1 mode_11 reference: elbow 25 Nm. Static estimate is about 4.4 Nm with 1 kg payload and 6.6 Nm with 2 kg; RS06 keeps continuous and dynamic margin. RS00 would save 0.622 kg total but would already sit close to rated torque with 1 kg.</t>
        </is>
      </c>
      <c r="P74" s="8" t="inlineStr">
        <is>
          <t>Upper motors</t>
        </is>
      </c>
      <c r="Q74" s="11" t="inlineStr">
        <is>
          <t>https://www.seeedstudio.com/Robostride-06-Actuator-p-6668.html</t>
        </is>
      </c>
      <c r="R74" s="8" t="inlineStr">
        <is>
          <t>Phase 3</t>
        </is>
      </c>
      <c r="S74" s="12" t="n">
        <v>0.643</v>
      </c>
      <c r="T74" s="11" t="inlineStr">
        <is>
          <t>https://www.seeedstudio.com/Robostride-06-Actuator-p-6668.html</t>
        </is>
      </c>
    </row>
    <row r="75">
      <c r="A75" s="7" t="inlineStr">
        <is>
          <t>RobStride 00 - uniform 3-axis wrist: roll (1/arm) - RIGHT arm</t>
        </is>
      </c>
      <c r="B75" s="8" t="inlineStr">
        <is>
          <t>Seeed / RobStride</t>
        </is>
      </c>
      <c r="C75" s="9" t="n">
        <v>116</v>
      </c>
      <c r="D75" s="10" t="n">
        <v>0.22</v>
      </c>
      <c r="E75" s="9">
        <f>C75*D75</f>
        <v/>
      </c>
      <c r="F75" s="8" t="n">
        <v>1</v>
      </c>
      <c r="G75" s="9">
        <f>(C75+E75)*F75</f>
        <v/>
      </c>
      <c r="H75" s="8" t="n"/>
      <c r="I75" s="8" t="n"/>
      <c r="J75" s="8" t="n"/>
      <c r="K75" s="8" t="n"/>
      <c r="L75" s="8" t="n"/>
      <c r="M75" s="8" t="n"/>
      <c r="N75" s="7" t="inlineStr">
        <is>
          <t>Axis: wrist roll, 1 per arm. RobStride PDF 2025-06-26 dimensions: OD 57 mm, length 51 mm. Weight: 0.310 kg. RobStride torque: 5 Nm rated, 14 Nm peak.</t>
        </is>
      </c>
      <c r="O75" s="7" t="inlineStr">
        <is>
          <t>G1 mode_11 reference: wrist roll 25 Nm. User choice: all three wrist axes use RS00 for uniformity, dual encoders and compact 57 mm package. RS00 rated torque can hold about 2 kg static in the hand; gravity torque on roll is near zero when the payload lies on the axis.</t>
        </is>
      </c>
      <c r="P75" s="8" t="inlineStr">
        <is>
          <t>Upper motors</t>
        </is>
      </c>
      <c r="Q75" s="11" t="inlineStr">
        <is>
          <t>https://www.seeedstudio.com/Robostride-00-Actuator-p-6664.html</t>
        </is>
      </c>
      <c r="R75" s="8" t="inlineStr">
        <is>
          <t>Phase 1</t>
        </is>
      </c>
      <c r="S75" s="12" t="n">
        <v>0.323</v>
      </c>
      <c r="T75" s="11" t="inlineStr">
        <is>
          <t>https://www.seeedstudio.com/Robostride-00-Actuator-p-6664.html</t>
        </is>
      </c>
    </row>
    <row r="76">
      <c r="A76" s="7" t="inlineStr">
        <is>
          <t>RobStride 00 - uniform 3-axis wrist: roll (1/arm) - LEFT arm</t>
        </is>
      </c>
      <c r="B76" s="8" t="inlineStr">
        <is>
          <t>Seeed / RobStride</t>
        </is>
      </c>
      <c r="C76" s="9" t="n">
        <v>116</v>
      </c>
      <c r="D76" s="10" t="n">
        <v>0.22</v>
      </c>
      <c r="E76" s="9">
        <f>C76*D76</f>
        <v/>
      </c>
      <c r="F76" s="8" t="n">
        <v>1</v>
      </c>
      <c r="G76" s="9">
        <f>(C76+E76)*F76</f>
        <v/>
      </c>
      <c r="H76" s="8" t="n"/>
      <c r="I76" s="8" t="n"/>
      <c r="J76" s="8" t="n"/>
      <c r="K76" s="8" t="n"/>
      <c r="L76" s="8" t="n"/>
      <c r="M76" s="8" t="n"/>
      <c r="N76" s="7" t="inlineStr">
        <is>
          <t>Axis: wrist roll, 1 per arm. RobStride PDF 2025-06-26 dimensions: OD 57 mm, length 51 mm. Weight: 0.310 kg. RobStride torque: 5 Nm rated, 14 Nm peak.</t>
        </is>
      </c>
      <c r="O76" s="7" t="inlineStr">
        <is>
          <t>G1 mode_11 reference: wrist roll 25 Nm. User choice: all three wrist axes use RS00 for uniformity, dual encoders and compact 57 mm package. RS00 rated torque can hold about 2 kg static in the hand; gravity torque on roll is near zero when the payload lies on the axis.</t>
        </is>
      </c>
      <c r="P76" s="8" t="inlineStr">
        <is>
          <t>Upper motors</t>
        </is>
      </c>
      <c r="Q76" s="11" t="inlineStr">
        <is>
          <t>https://www.seeedstudio.com/Robostride-00-Actuator-p-6664.html</t>
        </is>
      </c>
      <c r="R76" s="8" t="inlineStr">
        <is>
          <t>Phase 3</t>
        </is>
      </c>
      <c r="S76" s="12" t="n">
        <v>0.323</v>
      </c>
      <c r="T76" s="11" t="inlineStr">
        <is>
          <t>https://www.seeedstudio.com/Robostride-00-Actuator-p-6664.html</t>
        </is>
      </c>
    </row>
    <row r="77" hidden="1">
      <c r="A77" s="3" t="inlineStr">
        <is>
          <t>[SECOND CHOICE qty0] RobStride 06 - wrist 3 assi (riserva piu robusta)</t>
        </is>
      </c>
      <c r="B77" s="4" t="inlineStr">
        <is>
          <t>Seeed / RobStride</t>
        </is>
      </c>
      <c r="C77" s="5" t="n">
        <v>200</v>
      </c>
      <c r="D77" s="6" t="n">
        <v>0.22</v>
      </c>
      <c r="E77" s="5">
        <f>C77*D77</f>
        <v/>
      </c>
      <c r="F77" s="4" t="n">
        <v>0</v>
      </c>
      <c r="G77" s="5">
        <f>(C77+E77)*F77</f>
        <v/>
      </c>
      <c r="H77" s="4" t="n"/>
      <c r="I77" s="4" t="n"/>
      <c r="J77" s="4" t="n"/>
      <c r="K77" s="4" t="n"/>
      <c r="L77" s="4" t="n"/>
      <c r="M77" s="4" t="n"/>
      <c r="N77" s="3" t="inlineStr">
        <is>
          <t>Riserva robusta per i 3 assi del wrist. Dimensions: 88 x 88 x 49 mm. Weight: 0.621 kg. Torque RobStride: 11 Nm rated, 36 Nm peak.</t>
        </is>
      </c>
      <c r="O77" s="3" t="inlineStr">
        <is>
          <t>Reference G1 mode_11: wrist roll 25 Nm, pitch/yaw 5 Nm. Riserva se servisse molta piu coppia/rigidita al wrist; salto RS00-&gt;RS06 (RS02 eliminato perche' dominato). Per il wrist RS00 resta ampiamente sufficiente.</t>
        </is>
      </c>
      <c r="P77" s="4" t="inlineStr">
        <is>
          <t>Upper motors</t>
        </is>
      </c>
      <c r="Q77" s="4" t="inlineStr">
        <is>
          <t>https://www.seeedstudio.com/Robostride-06-Actuator-p-6668.html</t>
        </is>
      </c>
      <c r="R77" s="4" t="inlineStr">
        <is>
          <t>Phase 3</t>
        </is>
      </c>
      <c r="S77" s="13" t="n">
        <v>0</v>
      </c>
      <c r="T77" s="4" t="inlineStr">
        <is>
          <t>https://www.seeedstudio.com/Robostride-06-Actuator-p-6668.html</t>
        </is>
      </c>
    </row>
    <row r="78">
      <c r="A78" s="7" t="inlineStr">
        <is>
          <t>RobStride 00 - uniform 3-axis wrist: pitch/yaw (2/arm) - RIGHT arm</t>
        </is>
      </c>
      <c r="B78" s="8" t="inlineStr">
        <is>
          <t>Seeed / RobStride</t>
        </is>
      </c>
      <c r="C78" s="9" t="n">
        <v>116</v>
      </c>
      <c r="D78" s="10" t="n">
        <v>0.22</v>
      </c>
      <c r="E78" s="9">
        <f>C78*D78</f>
        <v/>
      </c>
      <c r="F78" s="8" t="n">
        <v>2</v>
      </c>
      <c r="G78" s="9">
        <f>(C78+E78)*F78</f>
        <v/>
      </c>
      <c r="H78" s="8" t="n"/>
      <c r="I78" s="8" t="n"/>
      <c r="J78" s="8" t="n"/>
      <c r="K78" s="8" t="n"/>
      <c r="L78" s="8" t="n"/>
      <c r="M78" s="8" t="n"/>
      <c r="N78" s="7" t="inlineStr">
        <is>
          <t>Axes: wrist pitch/yaw, 2 per arm. RobStride PDF 2025-06-26 dimensions: OD 57 mm, length 51 mm. Weight: 0.310 kg. RobStride torque: 5 Nm rated, 14 Nm peak.</t>
        </is>
      </c>
      <c r="O78" s="7" t="inlineStr">
        <is>
          <t>G1 mode_11 reference: wrist pitch/yaw 5 Nm per axis. RS00 can hold about 2 kg in the hand with margin and stays uniform with wrist roll. Selected RS00, not RS05: RS05 has only 1.6 Nm rated torque.</t>
        </is>
      </c>
      <c r="P78" s="8" t="inlineStr">
        <is>
          <t>Upper motors</t>
        </is>
      </c>
      <c r="Q78" s="11" t="inlineStr">
        <is>
          <t>https://www.seeedstudio.com/Robostride-00-Actuator-p-6664.html</t>
        </is>
      </c>
      <c r="R78" s="8" t="inlineStr">
        <is>
          <t>Phase 1</t>
        </is>
      </c>
      <c r="S78" s="12" t="n">
        <v>0.647</v>
      </c>
      <c r="T78" s="11" t="inlineStr">
        <is>
          <t>https://www.seeedstudio.com/Robostride-00-Actuator-p-6664.html</t>
        </is>
      </c>
    </row>
    <row r="79">
      <c r="A79" s="7" t="inlineStr">
        <is>
          <t>RobStride 00 - uniform 3-axis wrist: pitch/yaw (2/arm) - LEFT arm</t>
        </is>
      </c>
      <c r="B79" s="8" t="inlineStr">
        <is>
          <t>Seeed / RobStride</t>
        </is>
      </c>
      <c r="C79" s="9" t="n">
        <v>116</v>
      </c>
      <c r="D79" s="10" t="n">
        <v>0.22</v>
      </c>
      <c r="E79" s="9">
        <f>C79*D79</f>
        <v/>
      </c>
      <c r="F79" s="8" t="n">
        <v>2</v>
      </c>
      <c r="G79" s="9">
        <f>(C79+E79)*F79</f>
        <v/>
      </c>
      <c r="H79" s="8" t="n"/>
      <c r="I79" s="8" t="n"/>
      <c r="J79" s="8" t="n"/>
      <c r="K79" s="8" t="n"/>
      <c r="L79" s="8" t="n"/>
      <c r="M79" s="8" t="n"/>
      <c r="N79" s="7" t="inlineStr">
        <is>
          <t>Axes: wrist pitch/yaw, 2 per arm. RobStride PDF 2025-06-26 dimensions: OD 57 mm, length 51 mm. Weight: 0.310 kg. RobStride torque: 5 Nm rated, 14 Nm peak.</t>
        </is>
      </c>
      <c r="O79" s="7" t="inlineStr">
        <is>
          <t>G1 mode_11 reference: wrist pitch/yaw 5 Nm per axis. RS00 can hold about 2 kg in the hand with margin and stays uniform with wrist roll. Selected RS00, not RS05: RS05 has only 1.6 Nm rated torque.</t>
        </is>
      </c>
      <c r="P79" s="8" t="inlineStr">
        <is>
          <t>Upper motors</t>
        </is>
      </c>
      <c r="Q79" s="11" t="inlineStr">
        <is>
          <t>https://www.seeedstudio.com/Robostride-00-Actuator-p-6664.html</t>
        </is>
      </c>
      <c r="R79" s="8" t="inlineStr">
        <is>
          <t>Phase 3</t>
        </is>
      </c>
      <c r="S79" s="12" t="n">
        <v>0.647</v>
      </c>
      <c r="T79" s="11" t="inlineStr">
        <is>
          <t>https://www.seeedstudio.com/Robostride-00-Actuator-p-6664.html</t>
        </is>
      </c>
    </row>
    <row r="80" hidden="1">
      <c r="A80" s="3" t="inlineStr">
        <is>
          <t>[SECOND CHOICE qty0] RobStride 05 - wrist pitch/yaw ultraleggero (2/arm)</t>
        </is>
      </c>
      <c r="B80" s="4" t="inlineStr">
        <is>
          <t>Seeed / RobStride</t>
        </is>
      </c>
      <c r="C80" s="5" t="n">
        <v>100</v>
      </c>
      <c r="D80" s="6" t="n">
        <v>0.22</v>
      </c>
      <c r="E80" s="5">
        <f>C80*D80</f>
        <v/>
      </c>
      <c r="F80" s="4" t="n">
        <v>0</v>
      </c>
      <c r="G80" s="5">
        <f>(C80+E80)*F80</f>
        <v/>
      </c>
      <c r="H80" s="4" t="n"/>
      <c r="I80" s="4" t="n"/>
      <c r="J80" s="4" t="n"/>
      <c r="K80" s="4" t="n"/>
      <c r="L80" s="4" t="n"/>
      <c r="M80" s="4" t="n"/>
      <c r="N80" s="3" t="inlineStr">
        <is>
          <t>Axes: wrist pitch/yaw, alternative ultraleggera. Dimensions: 46 x 46 x 44 mm. Weight: 0.191 kg. Torque RobStride: 1.6 Nm rated, 5.5 Nm peak.</t>
        </is>
      </c>
      <c r="O80" s="3" t="inlineStr">
        <is>
          <t>Reference G1 mode_11: wrist pitch/yaw 5 Nm: RS05 (5.5 peak) and la taglia esatta and pesa solo 0.191 kg. Alternative all'RS00 SE il payload in mano resta &lt;1 kg: rated 1.6 Nm limita il carico continuo. Piu leggera ma meno robusta and without il margine dell'RS00.</t>
        </is>
      </c>
      <c r="P80" s="4" t="inlineStr">
        <is>
          <t>Upper motors</t>
        </is>
      </c>
      <c r="Q80" s="4" t="inlineStr">
        <is>
          <t>https://www.seeedstudio.com/Robostride-05-Actuator-p-6666.html</t>
        </is>
      </c>
      <c r="R80" s="4" t="inlineStr">
        <is>
          <t>Phase 3</t>
        </is>
      </c>
      <c r="S80" s="13" t="n">
        <v>0</v>
      </c>
      <c r="T80" s="4" t="inlineStr">
        <is>
          <t>https://www.seeedstudio.com/Robostride-05-Actuator-p-6666.html</t>
        </is>
      </c>
    </row>
    <row r="81">
      <c r="A81" s="7" t="inlineStr">
        <is>
          <t>RobStride 05 - G1-Comp neck pan/tilt (2 axes)</t>
        </is>
      </c>
      <c r="B81" s="8" t="inlineStr">
        <is>
          <t>Seeed / RobStride</t>
        </is>
      </c>
      <c r="C81" s="9" t="n">
        <v>100</v>
      </c>
      <c r="D81" s="10" t="n">
        <v>0.22</v>
      </c>
      <c r="E81" s="9">
        <f>C81*D81</f>
        <v/>
      </c>
      <c r="F81" s="8" t="n">
        <v>2</v>
      </c>
      <c r="G81" s="9">
        <f>(C81+E81)*F81</f>
        <v/>
      </c>
      <c r="H81" s="8" t="n"/>
      <c r="I81" s="8" t="n"/>
      <c r="J81" s="8" t="n"/>
      <c r="K81" s="8" t="n"/>
      <c r="L81" s="8" t="n"/>
      <c r="M81" s="8" t="n"/>
      <c r="N81" s="7" t="inlineStr">
        <is>
          <t>Axes: G1-Comp neck pan/tilt. RobStride PDF 2025-06-26 dimensions: OD 46 mm, length 44 mm. Weight: 0.191 kg. RobStride torque: 1.6 Nm rated, 5.5 Nm peak.</t>
        </is>
      </c>
      <c r="O81" s="7" t="inlineStr">
        <is>
          <t>G1-Comp reference: official 2-DOF head, but Unitree does not publish the neck motor torque. RS05 is a light provisional choice to validate, not a declared Unitree equivalence.</t>
        </is>
      </c>
      <c r="P81" s="8" t="inlineStr">
        <is>
          <t>Upper motors</t>
        </is>
      </c>
      <c r="Q81" s="11" t="inlineStr">
        <is>
          <t>https://www.seeedstudio.com/Robostride-05-Actuator-p-6666.html</t>
        </is>
      </c>
      <c r="R81" s="8" t="inlineStr">
        <is>
          <t>Phase 3</t>
        </is>
      </c>
      <c r="S81" s="12" t="n">
        <v>0.423</v>
      </c>
      <c r="T81" s="11" t="inlineStr">
        <is>
          <t>https://www.seeedstudio.com/Robostride-05-Actuator-p-6666.html</t>
        </is>
      </c>
    </row>
    <row r="82">
      <c r="A82" s="7" t="inlineStr">
        <is>
          <t>Inspire Robots RH56DFX-2L dexterous hand, left, without wrist</t>
        </is>
      </c>
      <c r="B82" s="8" t="inlineStr">
        <is>
          <t>Reichelt Italia - ALREADY OWNED (lab)</t>
        </is>
      </c>
      <c r="C82" s="9" t="n">
        <v>0</v>
      </c>
      <c r="D82" s="10" t="n">
        <v>0.22</v>
      </c>
      <c r="E82" s="9">
        <f>C82*D82</f>
        <v/>
      </c>
      <c r="F82" s="8" t="n">
        <v>1</v>
      </c>
      <c r="G82" s="9">
        <f>(C82+E82)*F82</f>
        <v/>
      </c>
      <c r="H82" s="8" t="n"/>
      <c r="I82" s="8" t="n"/>
      <c r="J82" s="8" t="n"/>
      <c r="K82" s="8" t="n"/>
      <c r="L82" s="8" t="n"/>
      <c r="M82" s="8" t="n"/>
      <c r="N82" s="7" t="inlineStr">
        <is>
          <t>Left six-actuator dexterous hand without the Inspire wrist module. Six actuated DOF, 12 moving joints, 24 V supply, RS485 communication, 217.8 mm overall length, about 80.7 mm palm width and 0.540 kg mass.</t>
        </is>
      </c>
      <c r="O82" s="7" t="inlineStr">
        <is>
          <t>Exact model RH56DFX-2L. ALREADY OWNED (lab stock, 2026-07-19): counted at EUR 0. Reference Reichelt price 2026-07-11: EUR 8,099.16 including Italian 22% VAT. Product table publishes 2 A peak, while the integration manual recommends provisioning up to 5 A. User decision 2026-07-17: both hands share the single WEHO 24 V rail, sized on the published 2 A figure; bench-measure real hand current, and if it approaches the 5 A provisioning recommendation move to the RSD-300C-24 or Cincon 350 W alternatives. Official docs downloaded 2026-07-18 into hands/: the 2026-02 selection guide confirms RH56DFX = RS485/CAN, DC 24 V +/-10%, quiescent 0.09 A, PEAK 2 A, 540 g. Interface per the RH56 series manual: one GX12 5-pin aviation plug carrying both power and RS485 (1 GND, 2 VCC 24 V, 3 A+, 4 B-, 5 GND); confirm the DFX connector is unchanged and request a DFX-specific manual at order. The local single-mesh STL is a cleaned visual/packaging reference, not a watertight manufacturing solid.</t>
        </is>
      </c>
      <c r="P82" s="8" t="inlineStr">
        <is>
          <t>Upper body</t>
        </is>
      </c>
      <c r="Q82" s="11" t="inlineStr">
        <is>
          <t>https://www.reichelt.com/it/it/shop/prodotto/rh56dfx_-_mano_robotica_destreggiata_senza_polso_sinistra-426921</t>
        </is>
      </c>
      <c r="R82" s="8" t="inlineStr">
        <is>
          <t>Phase 3</t>
        </is>
      </c>
      <c r="S82" s="12" t="n">
        <v>0.54</v>
      </c>
      <c r="T82" s="11" t="inlineStr">
        <is>
          <t>file:///Users/artes/Documents/artes/umanoide/cad_reference/RH56DFX-2L_reference.stl</t>
        </is>
      </c>
    </row>
    <row r="83">
      <c r="A83" s="7" t="inlineStr">
        <is>
          <t>Inspire Robots RH56DFX-2R dexterous hand, right, without wrist</t>
        </is>
      </c>
      <c r="B83" s="8" t="inlineStr">
        <is>
          <t>Reichelt Italia - ALREADY OWNED (lab)</t>
        </is>
      </c>
      <c r="C83" s="9" t="n">
        <v>0</v>
      </c>
      <c r="D83" s="10" t="n">
        <v>0.22</v>
      </c>
      <c r="E83" s="9">
        <f>C83*D83</f>
        <v/>
      </c>
      <c r="F83" s="8" t="n">
        <v>1</v>
      </c>
      <c r="G83" s="9">
        <f>(C83+E83)*F83</f>
        <v/>
      </c>
      <c r="H83" s="8" t="n"/>
      <c r="I83" s="8" t="n"/>
      <c r="J83" s="8" t="n"/>
      <c r="K83" s="8" t="n"/>
      <c r="L83" s="8" t="n"/>
      <c r="M83" s="8" t="n"/>
      <c r="N83" s="7" t="inlineStr">
        <is>
          <t>Right six-actuator dexterous hand without the Inspire wrist module. Six actuated DOF, 12 moving joints, 24 V supply, RS485 communication, 217.8 mm overall length, about 80.7 mm palm width and 0.540 kg mass.</t>
        </is>
      </c>
      <c r="O83" s="7" t="inlineStr">
        <is>
          <t>Exact model RH56DFX-2R. ALREADY OWNED (lab stock, 2026-07-19): counted at EUR 0. Reference Reichelt price 2026-07-11: EUR 8,099.16 including Italian 22% VAT. Product table publishes 2 A peak, while the integration manual recommends provisioning up to 5 A. User decision 2026-07-17: both hands share the single WEHO 24 V rail, sized on the published 2 A figure; bench-measure real hand current, and if it approaches the 5 A provisioning recommendation move to the RSD-300C-24 or Cincon 350 W alternatives. Official docs downloaded 2026-07-18 into hands/: the 2026-02 selection guide confirms RH56DFX = RS485/CAN, DC 24 V +/-10%, quiescent 0.09 A, PEAK 2 A, 540 g. Interface per the RH56 series manual: one GX12 5-pin aviation plug carrying both power and RS485 (1 GND, 2 VCC 24 V, 3 A+, 4 B-, 5 GND); confirm the DFX connector is unchanged and request a DFX-specific manual at order. The local single-mesh STL is a cleaned visual/packaging reference, not a watertight manufacturing solid.</t>
        </is>
      </c>
      <c r="P83" s="8" t="inlineStr">
        <is>
          <t>Upper body</t>
        </is>
      </c>
      <c r="Q83" s="11" t="inlineStr">
        <is>
          <t>https://www.reichelt.com/it/it/shop/prodotto/rh56dfx_-_mano_robotica_destreggiata_senza_polso_destra-426913</t>
        </is>
      </c>
      <c r="R83" s="8" t="inlineStr">
        <is>
          <t>Phase 1</t>
        </is>
      </c>
      <c r="S83" s="12" t="n">
        <v>0.54</v>
      </c>
      <c r="T83" s="11" t="inlineStr">
        <is>
          <t>file:///Users/artes/Documents/artes/umanoide/cad_reference/RH56DFX-2R_reference.stl</t>
        </is>
      </c>
    </row>
    <row r="84" ht="20" customHeight="1">
      <c r="A84" s="2" t="inlineStr">
        <is>
          <t>3 - BENCH POWER AND SAFETY - required before first motor power-up</t>
        </is>
      </c>
    </row>
    <row r="85">
      <c r="A85" s="7" t="inlineStr">
        <is>
          <t>MEAN WELL RSP-3000-48 bench supply (48 V, 3000 W)</t>
        </is>
      </c>
      <c r="B85" s="8" t="inlineStr">
        <is>
          <t>DigiKey</t>
        </is>
      </c>
      <c r="C85" s="9" t="n">
        <v>511.5</v>
      </c>
      <c r="D85" s="10" t="n">
        <v>0.22</v>
      </c>
      <c r="E85" s="9">
        <f>C85*D85</f>
        <v/>
      </c>
      <c r="F85" s="8" t="n">
        <v>1</v>
      </c>
      <c r="G85" s="9">
        <f>(C85+E85)*F85</f>
        <v/>
      </c>
      <c r="H85" s="8" t="n"/>
      <c r="I85" s="8" t="n"/>
      <c r="J85" s="8" t="n"/>
      <c r="K85" s="8" t="n"/>
      <c r="L85" s="8" t="n"/>
      <c r="M85" s="8" t="n"/>
      <c r="N85" s="7" t="inlineStr">
        <is>
          <t>Bench AC/DC supply: 230 VAC input to 48 VDC motor bus, up to 62.5 A / 3000 W. Size 278 x 177.8 x 63.5 mm, weight about 4.0 kg. Not carried onboard.</t>
        </is>
      </c>
      <c r="O85" s="7" t="inlineStr">
        <is>
          <t>Exact SKU RSP-3000-48. Keep regenerative-energy tests progressive; this supply does not automatically absorb regen energy.</t>
        </is>
      </c>
      <c r="P85" s="8" t="inlineStr">
        <is>
          <t>Motor power</t>
        </is>
      </c>
      <c r="Q85" s="11" t="inlineStr">
        <is>
          <t>https://www.digikey.com/en/products/detail/mean-well-usa-inc/RSP-3000-48/7706324</t>
        </is>
      </c>
      <c r="R85" s="8" t="inlineStr">
        <is>
          <t>Phase 1</t>
        </is>
      </c>
      <c r="S85" s="8" t="n"/>
      <c r="T85" s="8" t="n"/>
    </row>
    <row r="86">
      <c r="A86" s="7" t="inlineStr">
        <is>
          <t>Schuko mains cable -&gt; free ends, H07RN-F 3G1.5, 3 m, IP44</t>
        </is>
      </c>
      <c r="B86" s="8" t="inlineStr">
        <is>
          <t>Amazon (generic)</t>
        </is>
      </c>
      <c r="C86" s="9" t="n">
        <v>8.199999999999999</v>
      </c>
      <c r="D86" s="10" t="n">
        <v>0.22</v>
      </c>
      <c r="E86" s="9">
        <f>C86*D86</f>
        <v/>
      </c>
      <c r="F86" s="8" t="n">
        <v>1</v>
      </c>
      <c r="G86" s="9">
        <f>(C86+E86)*F86</f>
        <v/>
      </c>
      <c r="H86" s="8" t="n"/>
      <c r="I86" s="8" t="n"/>
      <c r="J86" s="8" t="n"/>
      <c r="K86" s="8" t="n"/>
      <c r="L86" s="8" t="n"/>
      <c r="M86" s="8" t="n"/>
      <c r="N86" s="7" t="inlineStr">
        <is>
          <t>Mains cable for the Mean Well AC input terminals: line, neutral and protective earth. Do not use an IEC C13 cord for this supply.</t>
        </is>
      </c>
      <c r="O86" s="7" t="inlineStr">
        <is>
          <t>Exact product link retained. Check plug, cable section and strain relief before first bench power-up. [2026-07-19: commodity - any H07RN-F 3G1.5, &gt;= 3 m, Schuko plug with free ends (or cut a heavy-duty extension cord). Previous exact reference: Craft Hardware EHK22146.]</t>
        </is>
      </c>
      <c r="P86" s="8" t="inlineStr">
        <is>
          <t>Motor power</t>
        </is>
      </c>
      <c r="Q86" s="11" t="inlineStr">
        <is>
          <t>https://www.amazon.it/s?k=cavo+H07RN-F+3G1.5+spina+schuko</t>
        </is>
      </c>
      <c r="R86" s="8" t="inlineStr">
        <is>
          <t>Phase 1</t>
        </is>
      </c>
      <c r="S86" s="8" t="n"/>
      <c r="T86" s="8" t="n"/>
    </row>
    <row r="87">
      <c r="A87" s="7" t="inlineStr">
        <is>
          <t>Schneider XB4BS8442 - red 40 mm emergency stop, twist release, 1NC</t>
        </is>
      </c>
      <c r="B87" s="8" t="inlineStr">
        <is>
          <t>RS Italia</t>
        </is>
      </c>
      <c r="C87" s="9" t="n">
        <v>31.04</v>
      </c>
      <c r="D87" s="10" t="n">
        <v>0.22</v>
      </c>
      <c r="E87" s="9">
        <f>C87*D87</f>
        <v/>
      </c>
      <c r="F87" s="8" t="n">
        <v>1</v>
      </c>
      <c r="G87" s="9">
        <f>(C87+E87)*F87</f>
        <v/>
      </c>
      <c r="H87" s="8" t="n"/>
      <c r="I87" s="8" t="n"/>
      <c r="J87" s="8" t="n"/>
      <c r="K87" s="8" t="n"/>
      <c r="L87" s="8" t="n"/>
      <c r="M87" s="8" t="n"/>
      <c r="N87" s="7" t="inlineStr">
        <is>
          <t>Manual emergency-stop button. Its normally-closed contact drives the contactor coil circuit; pressing it drops the contactor and removes 48 V from the motors.</t>
        </is>
      </c>
      <c r="O87" s="7" t="inlineStr">
        <is>
          <t>The e-stop does not carry motor current directly. [2026-07-19: switched to the METAL-bezel Harmony XB4BS8442 stocked by RS Italia (RS 7951306) - same Ø40 red turn-release mushroom, 1NC coding, XB4 = metal version of the plastic XB5AS8442 (previous source Industry-Electronics). Verify the 1NC contact block on the delivered unit and the RS price at order.]</t>
        </is>
      </c>
      <c r="P87" s="8" t="inlineStr">
        <is>
          <t>Safety</t>
        </is>
      </c>
      <c r="Q87" s="11" t="inlineStr">
        <is>
          <t>https://it.rs-online.com/web/p/pulsanti-di-arresto-di-emergenza/7951306</t>
        </is>
      </c>
      <c r="R87" s="8" t="inlineStr">
        <is>
          <t>Phase 1</t>
        </is>
      </c>
      <c r="S87" s="12" t="n">
        <v>0.07000000000000001</v>
      </c>
      <c r="T87" s="8" t="n"/>
    </row>
    <row r="88" hidden="1">
      <c r="A88" s="3" t="inlineStr">
        <is>
          <t>[REMOVED qty0] Albright SW80B-10 main DC contactor</t>
        </is>
      </c>
      <c r="B88" s="4" t="inlineStr">
        <is>
          <t>Radwell Germany</t>
        </is>
      </c>
      <c r="C88" s="5" t="n">
        <v>117.06</v>
      </c>
      <c r="D88" s="6" t="n">
        <v>0.22</v>
      </c>
      <c r="E88" s="5">
        <f>C88*D88</f>
        <v/>
      </c>
      <c r="F88" s="4" t="n">
        <v>0</v>
      </c>
      <c r="G88" s="5">
        <f>(C88+E88)*F88</f>
        <v/>
      </c>
      <c r="H88" s="4" t="n"/>
      <c r="I88" s="4" t="n"/>
      <c r="J88" s="4" t="n"/>
      <c r="K88" s="4" t="n"/>
      <c r="L88" s="4" t="n"/>
      <c r="M88" s="4" t="n"/>
      <c r="N88" s="3" t="inlineStr">
        <is>
          <t>Previous 93 x 59 x 39 mm, 0.400 kg contactor. Electrically valid but removed from the compact humanoid baseline.</t>
        </is>
      </c>
      <c r="O88" s="3" t="inlineStr">
        <is>
          <t>Superseded by the smaller exact TE LEV100A5ANG below.</t>
        </is>
      </c>
      <c r="P88" s="4" t="inlineStr">
        <is>
          <t>Safety</t>
        </is>
      </c>
      <c r="Q88" s="4" t="inlineStr">
        <is>
          <t>https://www.radwell.de/en-DE/Buy/ALBRIGHT/ALBRIGHT/SW80B-10</t>
        </is>
      </c>
      <c r="R88" s="4" t="inlineStr">
        <is>
          <t>Reference</t>
        </is>
      </c>
      <c r="S88" s="13" t="n">
        <v>0</v>
      </c>
      <c r="T88" s="4" t="n"/>
    </row>
    <row r="89">
      <c r="A89" s="7" t="inlineStr">
        <is>
          <t>TE Connectivity KILOVAC LEV100A5ANG - 100 A main DC contactor, 24 V coil</t>
        </is>
      </c>
      <c r="B89" s="8" t="inlineStr">
        <is>
          <t>DigiKey / Mouser / Farnell</t>
        </is>
      </c>
      <c r="C89" s="9" t="n">
        <v>150.93</v>
      </c>
      <c r="D89" s="10" t="n">
        <v>0.22</v>
      </c>
      <c r="E89" s="9">
        <f>C89*D89</f>
        <v/>
      </c>
      <c r="F89" s="8" t="n">
        <v>1</v>
      </c>
      <c r="G89" s="9">
        <f>(C89+E89)*F89</f>
        <v/>
      </c>
      <c r="H89" s="8" t="n"/>
      <c r="I89" s="8" t="n"/>
      <c r="J89" s="8" t="n"/>
      <c r="K89" s="8" t="n"/>
      <c r="L89" s="8" t="n"/>
      <c r="M89" s="8" t="n"/>
      <c r="N89" s="7" t="inlineStr">
        <is>
          <t>Only onboard high-current disconnect. The normally-open contactor removes battery power from all RobStride motor branches when the hardware e-stop opens its 24 V coil circuit. Body diameter 39.5 mm, mounting-flange width 46.3 mm, total height 57.96 mm; mass 0.190 kg.</t>
        </is>
      </c>
      <c r="O89" s="7" t="inlineStr">
        <is>
          <t>Exact TE part LEV100A5ANG / 9-1618389-8: SPST-NO, 100 A continuous, 900 VDC contact class, 24 VDC coil, M5 load terminals. The always-on Thor DC/DC remains upstream so loss of control power drops the motor bus.</t>
        </is>
      </c>
      <c r="P89" s="8" t="inlineStr">
        <is>
          <t>Safety</t>
        </is>
      </c>
      <c r="Q89" s="11" t="inlineStr">
        <is>
          <t>https://www.digikey.it/it/products/detail/te-connectivity-aerospace-defense-and-marine/LEV100A5ANG/2362833</t>
        </is>
      </c>
      <c r="R89" s="8" t="inlineStr">
        <is>
          <t>Phase 1</t>
        </is>
      </c>
      <c r="S89" s="12" t="n">
        <v>0.19</v>
      </c>
      <c r="T89" s="8" t="n"/>
    </row>
    <row r="90">
      <c r="A90" s="7" t="inlineStr">
        <is>
          <t>Littelfuse BF1 142.5631.5702 - main fuse 70A 58VDC M5 for compact P45B battery</t>
        </is>
      </c>
      <c r="B90" s="8" t="inlineStr">
        <is>
          <t>DigiKey</t>
        </is>
      </c>
      <c r="C90" s="9" t="n">
        <v>4.3</v>
      </c>
      <c r="D90" s="10" t="n">
        <v>0.22</v>
      </c>
      <c r="E90" s="9">
        <f>C90*D90</f>
        <v/>
      </c>
      <c r="F90" s="8" t="n">
        <v>1</v>
      </c>
      <c r="G90" s="9">
        <f>(C90+E90)*F90</f>
        <v/>
      </c>
      <c r="H90" s="8" t="n"/>
      <c r="I90" s="8" t="n"/>
      <c r="J90" s="8" t="n"/>
      <c r="K90" s="8" t="n"/>
      <c r="L90" s="8" t="n"/>
      <c r="M90" s="8" t="n"/>
      <c r="N90" s="7" t="inlineStr">
        <is>
          <t>Main slow-blow fuse on the positive line, as close as practical to the 48 V source. Protects the 25 mm2 trunk and is a more credible baseline for the selected compact 45 A continuous / 100 A maximum BMS pack than the previous 125 A fuse.</t>
        </is>
      </c>
      <c r="O90" s="7" t="inlineStr">
        <is>
          <t>Exact SKU 142.5631.5702: BF1 M5 70 A, 58 VDC, 1 kA interrupting rating. A full 13S pack reaches 54.6 V, so do not use a 32 V automotive fuse. ORDER GATE: confirm BMS trip curve, maximum-current duration, prospective short-circuit current and fuse coordination with the pack supplier before mobile tests.</t>
        </is>
      </c>
      <c r="P90" s="8" t="inlineStr">
        <is>
          <t>Safety</t>
        </is>
      </c>
      <c r="Q90" s="11" t="inlineStr">
        <is>
          <t>https://www.digikey.com/en/products/detail/littelfuse-inc/142-5631-5702/2515910</t>
        </is>
      </c>
      <c r="R90" s="8" t="inlineStr">
        <is>
          <t>Phase 1</t>
        </is>
      </c>
      <c r="S90" s="12" t="n">
        <v>0.01</v>
      </c>
      <c r="T90" s="8" t="n"/>
    </row>
    <row r="91">
      <c r="A91" s="7" t="inlineStr">
        <is>
          <t>Littelfuse 04980921GXM5 - inline MIDI/BF1 fuse holder, 58 VDC, with cover - main + right arm</t>
        </is>
      </c>
      <c r="B91" s="8" t="inlineStr">
        <is>
          <t>Mouser</t>
        </is>
      </c>
      <c r="C91" s="9" t="n">
        <v>8</v>
      </c>
      <c r="D91" s="10" t="n">
        <v>0.22</v>
      </c>
      <c r="E91" s="9">
        <f>C91*D91</f>
        <v/>
      </c>
      <c r="F91" s="8" t="n">
        <v>2</v>
      </c>
      <c r="G91" s="9">
        <f>(C91+E91)*F91</f>
        <v/>
      </c>
      <c r="H91" s="8" t="n"/>
      <c r="I91" s="8" t="n"/>
      <c r="J91" s="8" t="n"/>
      <c r="K91" s="8" t="n"/>
      <c r="L91" s="8" t="n"/>
      <c r="M91" s="8" t="n"/>
      <c r="N91" s="7" t="inlineStr">
        <is>
          <t>Insulated inline fuse holder with cover and M5 hardware for the main fuse and branch fuses.</t>
        </is>
      </c>
      <c r="O91" s="7" t="inlineStr">
        <is>
          <t>Qty 6 covers: main fuse plus two legs, waist/neck, and two arms. Add heat-shrink and strain relief; do not leave fuse holders unsupported.</t>
        </is>
      </c>
      <c r="P91" s="8" t="inlineStr">
        <is>
          <t>Safety</t>
        </is>
      </c>
      <c r="Q91" s="11" t="inlineStr">
        <is>
          <t>https://www.mouser.com/ProductDetail/Littelfuse/04980921GXM5?qs=aOs975IaWlkzQw1Up%2FmjHQ%3D%3D</t>
        </is>
      </c>
      <c r="R91" s="8" t="inlineStr">
        <is>
          <t>Phase 1</t>
        </is>
      </c>
      <c r="S91" s="12" t="n">
        <v>0.06</v>
      </c>
      <c r="T91" s="8" t="n"/>
    </row>
    <row r="92">
      <c r="A92" s="7" t="inlineStr">
        <is>
          <t>Littelfuse 04980921GXM5 - inline MIDI/BF1 fuse holder, 58 VDC, with cover - legs</t>
        </is>
      </c>
      <c r="B92" s="8" t="inlineStr">
        <is>
          <t>Mouser</t>
        </is>
      </c>
      <c r="C92" s="9" t="n">
        <v>8</v>
      </c>
      <c r="D92" s="10" t="n">
        <v>0.22</v>
      </c>
      <c r="E92" s="9">
        <f>C92*D92</f>
        <v/>
      </c>
      <c r="F92" s="8" t="n">
        <v>2</v>
      </c>
      <c r="G92" s="9">
        <f>(C92+E92)*F92</f>
        <v/>
      </c>
      <c r="H92" s="8" t="n"/>
      <c r="I92" s="8" t="n"/>
      <c r="J92" s="8" t="n"/>
      <c r="K92" s="8" t="n"/>
      <c r="L92" s="8" t="n"/>
      <c r="M92" s="8" t="n"/>
      <c r="N92" s="7" t="inlineStr">
        <is>
          <t>Insulated inline fuse holder with cover and M5 hardware for the main fuse and branch fuses.</t>
        </is>
      </c>
      <c r="O92" s="7" t="inlineStr">
        <is>
          <t>Qty 6 covers: main fuse plus two legs, waist/neck, and two arms. Add heat-shrink and strain relief; do not leave fuse holders unsupported.</t>
        </is>
      </c>
      <c r="P92" s="8" t="inlineStr">
        <is>
          <t>Safety</t>
        </is>
      </c>
      <c r="Q92" s="11" t="inlineStr">
        <is>
          <t>https://www.mouser.com/ProductDetail/Littelfuse/04980921GXM5?qs=aOs975IaWlkzQw1Up%2FmjHQ%3D%3D</t>
        </is>
      </c>
      <c r="R92" s="8" t="inlineStr">
        <is>
          <t>Phase 2</t>
        </is>
      </c>
      <c r="S92" s="12" t="n">
        <v>0.06</v>
      </c>
      <c r="T92" s="8" t="n"/>
    </row>
    <row r="93">
      <c r="A93" s="7" t="inlineStr">
        <is>
          <t>Littelfuse 04980921GXM5 - inline MIDI/BF1 fuse holder, 58 VDC, with cover - waist + left arm</t>
        </is>
      </c>
      <c r="B93" s="8" t="inlineStr">
        <is>
          <t>Mouser</t>
        </is>
      </c>
      <c r="C93" s="9" t="n">
        <v>8</v>
      </c>
      <c r="D93" s="10" t="n">
        <v>0.22</v>
      </c>
      <c r="E93" s="9">
        <f>C93*D93</f>
        <v/>
      </c>
      <c r="F93" s="8" t="n">
        <v>2</v>
      </c>
      <c r="G93" s="9">
        <f>(C93+E93)*F93</f>
        <v/>
      </c>
      <c r="H93" s="8" t="n"/>
      <c r="I93" s="8" t="n"/>
      <c r="J93" s="8" t="n"/>
      <c r="K93" s="8" t="n"/>
      <c r="L93" s="8" t="n"/>
      <c r="M93" s="8" t="n"/>
      <c r="N93" s="7" t="inlineStr">
        <is>
          <t>Insulated inline fuse holder with cover and M5 hardware for the main fuse and branch fuses.</t>
        </is>
      </c>
      <c r="O93" s="7" t="inlineStr">
        <is>
          <t>Qty 6 covers: main fuse plus two legs, waist/neck, and two arms. Add heat-shrink and strain relief; do not leave fuse holders unsupported.</t>
        </is>
      </c>
      <c r="P93" s="8" t="inlineStr">
        <is>
          <t>Safety</t>
        </is>
      </c>
      <c r="Q93" s="11" t="inlineStr">
        <is>
          <t>https://www.mouser.com/ProductDetail/Littelfuse/04980921GXM5?qs=aOs975IaWlkzQw1Up%2FmjHQ%3D%3D</t>
        </is>
      </c>
      <c r="R93" s="8" t="inlineStr">
        <is>
          <t>Phase 3</t>
        </is>
      </c>
      <c r="S93" s="12" t="n">
        <v>0.06</v>
      </c>
      <c r="T93" s="8" t="n"/>
    </row>
    <row r="94">
      <c r="A94" s="7" t="inlineStr">
        <is>
          <t>Vishay Dale RHA050100R0FE02 - chassis precharge resistor, 100 ohm, 50 W</t>
        </is>
      </c>
      <c r="B94" s="8" t="inlineStr">
        <is>
          <t>DigiKey</t>
        </is>
      </c>
      <c r="C94" s="9" t="n">
        <v>8.75</v>
      </c>
      <c r="D94" s="10" t="n">
        <v>0.22</v>
      </c>
      <c r="E94" s="9">
        <f>C94*D94</f>
        <v/>
      </c>
      <c r="F94" s="8" t="n">
        <v>1</v>
      </c>
      <c r="G94" s="9">
        <f>(C94+E94)*F94</f>
        <v/>
      </c>
      <c r="H94" s="8" t="n"/>
      <c r="I94" s="8" t="n"/>
      <c r="J94" s="8" t="n"/>
      <c r="K94" s="8" t="n"/>
      <c r="L94" s="8" t="n"/>
      <c r="M94" s="8" t="n"/>
      <c r="N94" s="7" t="inlineStr">
        <is>
          <t>Panel-mounted precharge resistor. It charges the distributed DC-link capacitance of the 30 actuators and harness before the main contactor closes, reducing inrush current and arcing.</t>
        </is>
      </c>
      <c r="O94" s="7" t="inlineStr">
        <is>
          <t>At 54.6 V: initial current about 0.546 A and initial power about 29.8 W. Aggregate RobStride capacitance is unpublished, so retain the initial 10 s delay and verify bus voltage before contactor closure.</t>
        </is>
      </c>
      <c r="P94" s="8" t="inlineStr">
        <is>
          <t>Safety</t>
        </is>
      </c>
      <c r="Q94" s="11" t="inlineStr">
        <is>
          <t>https://www.digikey.com/en/products/detail/vishay-dale/RHA050100R0FE02/15191925</t>
        </is>
      </c>
      <c r="R94" s="8" t="inlineStr">
        <is>
          <t>Phase 1</t>
        </is>
      </c>
      <c r="S94" s="12" t="n">
        <v>0.05</v>
      </c>
      <c r="T94" s="8" t="n"/>
    </row>
    <row r="95">
      <c r="A95" s="7" t="inlineStr">
        <is>
          <t>CIT Relay A2K1CSQ24VDC1.6 - compact precharge relay, 24 V coil</t>
        </is>
      </c>
      <c r="B95" s="8" t="inlineStr">
        <is>
          <t>DigiKey</t>
        </is>
      </c>
      <c r="C95" s="9" t="n">
        <v>6.1</v>
      </c>
      <c r="D95" s="10" t="n">
        <v>0.22</v>
      </c>
      <c r="E95" s="9">
        <f>C95*D95</f>
        <v/>
      </c>
      <c r="F95" s="8" t="n">
        <v>1</v>
      </c>
      <c r="G95" s="9">
        <f>(C95+E95)*F95</f>
        <v/>
      </c>
      <c r="H95" s="8" t="n"/>
      <c r="I95" s="8" t="n"/>
      <c r="J95" s="8" t="n"/>
      <c r="K95" s="8" t="n"/>
      <c r="L95" s="8" t="n"/>
      <c r="M95" s="8" t="n"/>
      <c r="N95" s="7" t="inlineStr">
        <is>
          <t>Precharge-branch relay: on enable it connects the 100 ohm resistor across the main contactor. After the measured bus reaches the required voltage, the LEV100 closes and bypasses the resistor.</t>
        </is>
      </c>
      <c r="O95" s="7" t="inlineStr">
        <is>
          <t>Exact A2K1CSQ24VDC1.6, DigiKey 2449-A2K1CSQ24VDC1.6-ND. Envelope 26.5 x 32.0 x 33.5 mm, 24 VDC coil. Sequencing decision 2026-07-17: the START/latch node energizes this precharge relay immediately while the H3YN-2 on-delay timer counts; the timer contact then closes the LEV100, which bypasses the resistor. The physical e-stop still directly interrupts all coil power. Thor only monitors RobStride VBUS telemetry and gates motor enable in software; it is not part of the safety chain.</t>
        </is>
      </c>
      <c r="P95" s="8" t="inlineStr">
        <is>
          <t>Safety</t>
        </is>
      </c>
      <c r="Q95" s="11" t="inlineStr">
        <is>
          <t>https://www.digikey.com/en/products/detail/cit-relay-and-switch/A2K1CSQ24VDC1-6/16687908</t>
        </is>
      </c>
      <c r="R95" s="8" t="inlineStr">
        <is>
          <t>Phase 1</t>
        </is>
      </c>
      <c r="S95" s="12" t="n">
        <v>0.04</v>
      </c>
      <c r="T95" s="8" t="n"/>
    </row>
    <row r="96">
      <c r="A96" s="7" t="inlineStr">
        <is>
          <t>[DESIGN DELIVERABLE - NOT A PURCHASE] SEQ-PWR-01 safety-chain and precharge wiring drawing</t>
        </is>
      </c>
      <c r="B96" s="8" t="inlineStr">
        <is>
          <t>Project electrical documentation</t>
        </is>
      </c>
      <c r="C96" s="9" t="n">
        <v>0</v>
      </c>
      <c r="D96" s="10" t="n">
        <v>0.22</v>
      </c>
      <c r="E96" s="9">
        <f>C96*D96</f>
        <v/>
      </c>
      <c r="F96" s="8" t="n">
        <v>1</v>
      </c>
      <c r="G96" s="9">
        <f>(C96+E96)*F96</f>
        <v/>
      </c>
      <c r="H96" s="8" t="n"/>
      <c r="I96" s="8" t="n"/>
      <c r="J96" s="8" t="n"/>
      <c r="K96" s="8" t="n"/>
      <c r="L96" s="8" t="n"/>
      <c r="M96" s="8" t="n"/>
      <c r="N96" s="7" t="inlineStr">
        <is>
          <t>Hardware sequencing selected 2026-07-17, no custom PCB: 24 V safety fuse -&gt; latching e-stop NC -&gt; START button with CIT seal-in latch relay -&gt; precharge CIT relay + H3YN-2 on-delay timer -&gt; timer contact -&gt; LEV100 coil. Pressing START begins precharge and the delay; the timer closes the LEV100 on an already-charged bus; releasing the e-stop never restarts the bus, only START does. The deliverable is the released wiring drawing: terminals, wire gauges and colours, TVS placement at all three coils, mounting of latch relay, timer socket and button, and the frozen timer setting.</t>
        </is>
      </c>
      <c r="O96" s="7" t="inlineStr">
        <is>
          <t>Set the on-delay from the measured precharge time constant: watch RobStride VBUS telemetry converge on the bench, then set 4-5 tau with margin (initial guidance 10 s). Thor additionally refuses motor enable until telemetry VBUS matches battery voltage, but software is not part of the safety chain. The four purchasable parts are the separate rows below.</t>
        </is>
      </c>
      <c r="P96" s="8" t="inlineStr">
        <is>
          <t>Safety</t>
        </is>
      </c>
      <c r="Q96" s="11" t="inlineStr">
        <is>
          <t>https://www.digikey.it/it/products/detail/te-connectivity-aerospace-defense-and-marine/LEV100A5ANG/2362833</t>
        </is>
      </c>
      <c r="R96" s="8" t="inlineStr">
        <is>
          <t>Phase 1</t>
        </is>
      </c>
      <c r="S96" s="8" t="n"/>
      <c r="T96" s="8" t="n"/>
    </row>
    <row r="97">
      <c r="A97" s="7" t="inlineStr">
        <is>
          <t>Schneider XB5AA31 - green 22 mm flush START pushbutton, momentary, 1NO</t>
        </is>
      </c>
      <c r="B97" s="8" t="inlineStr">
        <is>
          <t>Schneider / RS / distributors</t>
        </is>
      </c>
      <c r="C97" s="9" t="n">
        <v>15</v>
      </c>
      <c r="D97" s="10" t="n">
        <v>0.22</v>
      </c>
      <c r="E97" s="9">
        <f>C97*D97</f>
        <v/>
      </c>
      <c r="F97" s="8" t="n">
        <v>1</v>
      </c>
      <c r="G97" s="9">
        <f>(C97+E97)*F97</f>
        <v/>
      </c>
      <c r="H97" s="8" t="n"/>
      <c r="I97" s="8" t="n"/>
      <c r="J97" s="8" t="n"/>
      <c r="K97" s="8" t="n"/>
      <c r="L97" s="8" t="n"/>
      <c r="M97" s="8" t="n"/>
      <c r="N97" s="7" t="inlineStr">
        <is>
          <t>Manual START command of the motor-bus power-up sequence, mounted on the outer shell next to the e-stop. Pressing it energizes the seal-in latch, which starts precharge and the on-delay timer. Panel hole diameter 22 mm; same XB5 family as the selected e-stop.</t>
        </is>
      </c>
      <c r="O97" s="7" t="inlineStr">
        <is>
          <t>Exact SKU XB5AA31, 1NO momentary. Price is an estimate: verify at order. Behind-panel depth is about 45 mm: verify the exact Schneider drawing before the CAD freeze. Releasing the e-stop must never restart the bus; only this button does, through the latch relay.</t>
        </is>
      </c>
      <c r="P97" s="8" t="inlineStr">
        <is>
          <t>Safety</t>
        </is>
      </c>
      <c r="Q97" s="11" t="inlineStr">
        <is>
          <t>https://www.se.com/ww/en/product/XB5AA31/</t>
        </is>
      </c>
      <c r="R97" s="8" t="inlineStr">
        <is>
          <t>Phase 1</t>
        </is>
      </c>
      <c r="S97" s="12" t="n">
        <v>0.03</v>
      </c>
      <c r="T97" s="8" t="n"/>
    </row>
    <row r="98">
      <c r="A98" s="7" t="inlineStr">
        <is>
          <t>CIT Relay A2K1CSQ24VDC1.6 - START seal-in latch relay, 24 V coil</t>
        </is>
      </c>
      <c r="B98" s="8" t="inlineStr">
        <is>
          <t>DigiKey</t>
        </is>
      </c>
      <c r="C98" s="9" t="n">
        <v>6.1</v>
      </c>
      <c r="D98" s="10" t="n">
        <v>0.22</v>
      </c>
      <c r="E98" s="9">
        <f>C98*D98</f>
        <v/>
      </c>
      <c r="F98" s="8" t="n">
        <v>1</v>
      </c>
      <c r="G98" s="9">
        <f>(C98+E98)*F98</f>
        <v/>
      </c>
      <c r="H98" s="8" t="n"/>
      <c r="I98" s="8" t="n"/>
      <c r="J98" s="8" t="n"/>
      <c r="K98" s="8" t="n"/>
      <c r="L98" s="8" t="n"/>
      <c r="M98" s="8" t="n"/>
      <c r="N98" s="7" t="inlineStr">
        <is>
          <t>Second unit of the same exact relay used for precharge, wired as a seal-in latch: START energizes the coil, one contact holds it in through the e-stop chain, and the latched node feeds the precharge relay coil and the timer. E-stop or loss of 24 V drops the latch, and the bus stays down until START is pressed again.</t>
        </is>
      </c>
      <c r="O98" s="7" t="inlineStr">
        <is>
          <t>Exact A2K1CSQ24VDC1.6, same SKU as the precharge relay row: one spare covers both functions. Envelope 26.5 x 32.0 x 33.5 mm, 24 VDC coil. Latched-node load is only the CIT coil, timer supply and LEV100 coil, well under one ampere; add the TVS at the coil.</t>
        </is>
      </c>
      <c r="P98" s="8" t="inlineStr">
        <is>
          <t>Safety</t>
        </is>
      </c>
      <c r="Q98" s="11" t="inlineStr">
        <is>
          <t>https://www.digikey.com/en/products/detail/cit-relay-and-switch/A2K1CSQ24VDC1-6/16687908</t>
        </is>
      </c>
      <c r="R98" s="8" t="inlineStr">
        <is>
          <t>Phase 1</t>
        </is>
      </c>
      <c r="S98" s="12" t="n">
        <v>0.04</v>
      </c>
      <c r="T98" s="8" t="n"/>
    </row>
    <row r="99">
      <c r="A99" s="7" t="inlineStr">
        <is>
          <t>Omron H3YN-2 DC24 - miniature multifunction on-delay timer relay, 24 VDC</t>
        </is>
      </c>
      <c r="B99" s="8" t="inlineStr">
        <is>
          <t>DigiKey / Mouser / RS</t>
        </is>
      </c>
      <c r="C99" s="9" t="n">
        <v>40</v>
      </c>
      <c r="D99" s="10" t="n">
        <v>0.22</v>
      </c>
      <c r="E99" s="9">
        <f>C99*D99</f>
        <v/>
      </c>
      <c r="F99" s="8" t="n">
        <v>1</v>
      </c>
      <c r="G99" s="9">
        <f>(C99+E99)*F99</f>
        <v/>
      </c>
      <c r="H99" s="8" t="n"/>
      <c r="I99" s="8" t="n"/>
      <c r="J99" s="8" t="n"/>
      <c r="K99" s="8" t="n"/>
      <c r="L99" s="8" t="n"/>
      <c r="M99" s="8" t="n"/>
      <c r="N99" s="7" t="inlineStr">
        <is>
          <t>Brand-name on-delay element of the precharge sequence: powered from the latched node, it closes the LEV100 coil circuit only after the set delay, so the main contactor always closes on a precharged bus. Miniature MY-relay footprint, plugs into the PYF08A-E socket below; body about 21.5 x 28 x 42 mm plus socket.</t>
        </is>
      </c>
      <c r="O99" s="7" t="inlineStr">
        <is>
          <t>Exact model H3YN-2 DC24, multifunction: use mode ON-DELAY, initial setting 10 s, then freeze the value from the measured precharge time constant (4-5 tau). A brand part is deliberate here: a timer that closes early silently defeats precharge and can weld the main contactor. Price is an estimate: verify at order, and verify the exact Omron drawing before the CAD freeze.</t>
        </is>
      </c>
      <c r="P99" s="8" t="inlineStr">
        <is>
          <t>Safety</t>
        </is>
      </c>
      <c r="Q99" s="11" t="inlineStr">
        <is>
          <t>https://www.digikey.com/en/products/result?keywords=H3YN-2%20DC24</t>
        </is>
      </c>
      <c r="R99" s="8" t="inlineStr">
        <is>
          <t>Phase 1</t>
        </is>
      </c>
      <c r="S99" s="12" t="n">
        <v>0.05</v>
      </c>
      <c r="T99" s="8" t="n"/>
    </row>
    <row r="100">
      <c r="A100" s="7" t="inlineStr">
        <is>
          <t>Omron PYF08A-E - screw-terminal socket for H3YN-2 timer</t>
        </is>
      </c>
      <c r="B100" s="8" t="inlineStr">
        <is>
          <t>DigiKey / Mouser / RS</t>
        </is>
      </c>
      <c r="C100" s="9" t="n">
        <v>5</v>
      </c>
      <c r="D100" s="10" t="n">
        <v>0.22</v>
      </c>
      <c r="E100" s="9">
        <f>C100*D100</f>
        <v/>
      </c>
      <c r="F100" s="8" t="n">
        <v>1</v>
      </c>
      <c r="G100" s="9">
        <f>(C100+E100)*F100</f>
        <v/>
      </c>
      <c r="H100" s="8" t="n"/>
      <c r="I100" s="8" t="n"/>
      <c r="J100" s="8" t="n"/>
      <c r="K100" s="8" t="n"/>
      <c r="L100" s="8" t="n"/>
      <c r="M100" s="8" t="n"/>
      <c r="N100" s="7" t="inlineStr">
        <is>
          <t>Screw-terminal socket for the plug-in H3YN-2 timer; DIN-rail or two-screw panel mounting. Timer plus socket stand about 80 mm tall: reserve about 25 x 35 x 80 mm standing, or lay the assembly flat.</t>
        </is>
      </c>
      <c r="O100" s="7" t="inlineStr">
        <is>
          <t>Exact model PYF08A-E. Price is an estimate: verify at order. Verify the exact Omron drawing before the CAD freeze; add strain relief on the control wires.</t>
        </is>
      </c>
      <c r="P100" s="8" t="inlineStr">
        <is>
          <t>Safety</t>
        </is>
      </c>
      <c r="Q100" s="11" t="inlineStr">
        <is>
          <t>https://www.digikey.com/en/products/result?keywords=PYF08A-E</t>
        </is>
      </c>
      <c r="R100" s="8" t="inlineStr">
        <is>
          <t>Phase 1</t>
        </is>
      </c>
      <c r="S100" s="12" t="n">
        <v>0.03</v>
      </c>
      <c r="T100" s="8" t="n"/>
    </row>
    <row r="101" hidden="1">
      <c r="A101" s="3" t="inlineStr">
        <is>
          <t>[REMOVED qty0] Eaton 262684 ETR2-11 DIN precharge timer</t>
        </is>
      </c>
      <c r="B101" s="4" t="inlineStr">
        <is>
          <t>RS Italia</t>
        </is>
      </c>
      <c r="C101" s="5" t="n">
        <v>124.23</v>
      </c>
      <c r="D101" s="6" t="n">
        <v>0.22</v>
      </c>
      <c r="E101" s="5">
        <f>C101*D101</f>
        <v/>
      </c>
      <c r="F101" s="4" t="n">
        <v>0</v>
      </c>
      <c r="G101" s="5">
        <f>(C101+E101)*F101</f>
        <v/>
      </c>
      <c r="H101" s="4" t="n"/>
      <c r="I101" s="4" t="n"/>
      <c r="J101" s="4" t="n"/>
      <c r="K101" s="4" t="n"/>
      <c r="L101" s="4" t="n"/>
      <c r="M101" s="4" t="n"/>
      <c r="N101" s="3" t="inlineStr">
        <is>
          <t>Removed from the robot. Thor performs the precharge sequence through the exact compact CIT relay; the e-stop remains hardwired and independent.</t>
        </is>
      </c>
      <c r="O101" s="3" t="inlineStr">
        <is>
          <t>Previous envelope 17.5 x 63 x 70 mm and 0.051 kg.</t>
        </is>
      </c>
      <c r="P101" s="4" t="inlineStr">
        <is>
          <t>Safety</t>
        </is>
      </c>
      <c r="Q101" s="4" t="inlineStr">
        <is>
          <t>https://it.rs-online.com/web/p/rele-temporizzati/2827115</t>
        </is>
      </c>
      <c r="R101" s="4" t="inlineStr">
        <is>
          <t>Reference</t>
        </is>
      </c>
      <c r="S101" s="13" t="n">
        <v>0</v>
      </c>
      <c r="T101" s="4" t="n"/>
    </row>
    <row r="102" hidden="1">
      <c r="A102" s="3" t="inlineStr">
        <is>
          <t>[REMOVED qty0] Schneider XB5AG21 keyed motor-enable selector</t>
        </is>
      </c>
      <c r="B102" s="4" t="inlineStr">
        <is>
          <t>RS Italia</t>
        </is>
      </c>
      <c r="C102" s="5" t="n">
        <v>38.23</v>
      </c>
      <c r="D102" s="6" t="n">
        <v>0.22</v>
      </c>
      <c r="E102" s="5">
        <f>C102*D102</f>
        <v/>
      </c>
      <c r="F102" s="4" t="n">
        <v>0</v>
      </c>
      <c r="G102" s="5">
        <f>(C102+E102)*F102</f>
        <v/>
      </c>
      <c r="H102" s="4" t="n"/>
      <c r="I102" s="4" t="n"/>
      <c r="J102" s="4" t="n"/>
      <c r="K102" s="4" t="n"/>
      <c r="L102" s="4" t="n"/>
      <c r="M102" s="4" t="n"/>
      <c r="N102" s="3" t="inlineStr">
        <is>
          <t>Removed from the compact robot. Motor re-enable requires software acknowledgement after the latching e-stop is manually reset; no separate heavy panel key switch.</t>
        </is>
      </c>
      <c r="O102" s="3" t="inlineStr">
        <is>
          <t>Retained only as a reference if a laboratory later requires keyed access control.</t>
        </is>
      </c>
      <c r="P102" s="4" t="inlineStr">
        <is>
          <t>Safety</t>
        </is>
      </c>
      <c r="Q102" s="4" t="inlineStr">
        <is>
          <t>https://it.rs-online.com/web/p/selettori/6096079</t>
        </is>
      </c>
      <c r="R102" s="4" t="inlineStr">
        <is>
          <t>Reference</t>
        </is>
      </c>
      <c r="S102" s="13" t="n">
        <v>0</v>
      </c>
      <c r="T102" s="4" t="n"/>
    </row>
    <row r="103" hidden="1">
      <c r="A103" s="3" t="inlineStr">
        <is>
          <t>[REMOVED qty0] Littelfuse 1.5KE68CA - bidirectional TVS, 58.1 V, for the removed 48 V coils</t>
        </is>
      </c>
      <c r="B103" s="4" t="inlineStr">
        <is>
          <t>DigiKey</t>
        </is>
      </c>
      <c r="C103" s="5" t="n">
        <v>0.65</v>
      </c>
      <c r="D103" s="6" t="n">
        <v>0.22</v>
      </c>
      <c r="E103" s="5">
        <f>C103*D103</f>
        <v/>
      </c>
      <c r="F103" s="4" t="n">
        <v>0</v>
      </c>
      <c r="G103" s="5">
        <f>(C103+E103)*F103</f>
        <v/>
      </c>
      <c r="H103" s="4" t="n"/>
      <c r="I103" s="4" t="n"/>
      <c r="J103" s="4" t="n"/>
      <c r="K103" s="4" t="n"/>
      <c r="L103" s="4" t="n"/>
      <c r="M103" s="4" t="n"/>
      <c r="N103" s="3" t="inlineStr">
        <is>
          <t>Historical row: three 68 V TVS devices at the removed SW80 main-contactor, 48 V precharge-relay and Omron hand-relay coil terminals.</t>
        </is>
      </c>
      <c r="O103" s="3" t="inlineStr">
        <is>
          <t>Superseded 2026-07-17 by two 1.5KE33CA devices on the LEV100 and CIT 24 V coils; see the active row.</t>
        </is>
      </c>
      <c r="P103" s="4" t="inlineStr">
        <is>
          <t>Safety</t>
        </is>
      </c>
      <c r="Q103" s="4" t="inlineStr">
        <is>
          <t>https://www.digikey.com/en/products/detail/littelfuse-inc/1-5KE68CA/3909</t>
        </is>
      </c>
      <c r="R103" s="4" t="inlineStr">
        <is>
          <t>Reference</t>
        </is>
      </c>
      <c r="S103" s="13" t="n">
        <v>0</v>
      </c>
      <c r="T103" s="4" t="n"/>
    </row>
    <row r="104">
      <c r="A104" s="7" t="inlineStr">
        <is>
          <t>Littelfuse 1.5KE33CA - bidirectional TVS for LEV100 and CIT 24 V coils</t>
        </is>
      </c>
      <c r="B104" s="8" t="inlineStr">
        <is>
          <t>DigiKey</t>
        </is>
      </c>
      <c r="C104" s="9" t="n">
        <v>0.65</v>
      </c>
      <c r="D104" s="10" t="n">
        <v>0.22</v>
      </c>
      <c r="E104" s="9">
        <f>C104*D104</f>
        <v/>
      </c>
      <c r="F104" s="8" t="n">
        <v>3</v>
      </c>
      <c r="G104" s="9">
        <f>(C104+E104)*F104</f>
        <v/>
      </c>
      <c r="H104" s="8" t="n"/>
      <c r="I104" s="8" t="n"/>
      <c r="J104" s="8" t="n"/>
      <c r="K104" s="8" t="n"/>
      <c r="L104" s="8" t="n"/>
      <c r="M104" s="8" t="n"/>
      <c r="N104" s="7" t="inlineStr">
        <is>
          <t>Transient suppressors mounted directly at the three 24 V coil terminals: LEV100 main contactor, CIT precharge relay and CIT START latch relay. They limit switch-off voltage spikes without the slow drop-out of a plain flyback diode, keeping e-stop opening fast.</t>
        </is>
      </c>
      <c r="O104" s="7" t="inlineStr">
        <is>
          <t>Exact series part 1.5KE33CA: bidirectional, 28.2 V standoff, clamping about 45.7 V. Qty 3, one per coil (LEV100, precharge CIT, latch CIT), mounted directly at the coil terminals as shown in the SEQ-PWR-01 wiring drawing. Replace the keyword link with the exact distributor link at order time; keep the TVS even if the delivered LEV100 variant documents internal coil suppression.</t>
        </is>
      </c>
      <c r="P104" s="8" t="inlineStr">
        <is>
          <t>Safety</t>
        </is>
      </c>
      <c r="Q104" s="11" t="inlineStr">
        <is>
          <t>https://www.digikey.com/en/products/result?keywords=1.5KE33CA</t>
        </is>
      </c>
      <c r="R104" s="8" t="inlineStr">
        <is>
          <t>Phase 1</t>
        </is>
      </c>
      <c r="S104" s="12" t="n">
        <v>0.003</v>
      </c>
      <c r="T104" s="8" t="n"/>
    </row>
    <row r="105" hidden="1">
      <c r="A105" s="3" t="inlineStr">
        <is>
          <t>[MEASUREMENT FALLBACK qty0] ODrive PWR-CLMP1-ST Regen Clamp</t>
        </is>
      </c>
      <c r="B105" s="4" t="inlineStr">
        <is>
          <t>ODrive Europe</t>
        </is>
      </c>
      <c r="C105" s="5" t="n">
        <v>89</v>
      </c>
      <c r="D105" s="6" t="n">
        <v>0.22</v>
      </c>
      <c r="E105" s="5">
        <f>C105*D105</f>
        <v/>
      </c>
      <c r="F105" s="4" t="n">
        <v>0</v>
      </c>
      <c r="G105" s="5">
        <f>(C105+E105)*F105</f>
        <v/>
      </c>
      <c r="H105" s="4" t="n"/>
      <c r="I105" s="4" t="n"/>
      <c r="J105" s="4" t="n"/>
      <c r="K105" s="4" t="n"/>
      <c r="L105" s="4" t="n"/>
      <c r="M105" s="4" t="n"/>
      <c r="N105" s="3" t="inlineStr">
        <is>
          <t>Regenerative-energy clamp installed between the switched actuator source and the downstream motor PDU. With the required 70 x 70 mm heat spreader it is rated 80 A forward continuous / 120 A peak and 40 A brake continuous / 80 A peak. Board envelope 66 x 50 x 15.3 mm; CAD reserve 70 x 70 x 20 mm with plate.</t>
        </is>
      </c>
      <c r="O105" s="3" t="inlineStr">
        <is>
          <t>Exact SKU PWR-CLMP1-ST. It clamps the downstream bus when it rises about 2.35-2.50 V above the battery, so a full 54.6 V pack is held near 57.1 V, below the documented RobStride 60 V overvoltage fault. Maximum clamp voltage is 58 V, therefore do not use a charger above 54.6 V and validate transients with an oscilloscope. EU price checked 2026-07-12: EUR 89 excluding VAT.</t>
        </is>
      </c>
      <c r="P105" s="4" t="inlineStr">
        <is>
          <t>Safety</t>
        </is>
      </c>
      <c r="Q105" s="4" t="inlineStr">
        <is>
          <t>https://eu.odriverobotics.com/shop/odrive-regen-clamp</t>
        </is>
      </c>
      <c r="R105" s="4" t="inlineStr">
        <is>
          <t>Reference</t>
        </is>
      </c>
      <c r="S105" s="13" t="n">
        <v>0</v>
      </c>
      <c r="T105" s="4" t="n"/>
    </row>
    <row r="106" hidden="1">
      <c r="A106" s="3" t="inlineStr">
        <is>
          <t>[MEASUREMENT FALLBACK qty0] ODrive 70 x 70 mm Regen Clamp heat spreader</t>
        </is>
      </c>
      <c r="B106" s="4" t="inlineStr">
        <is>
          <t>ODrive Europe</t>
        </is>
      </c>
      <c r="C106" s="5" t="n">
        <v>12</v>
      </c>
      <c r="D106" s="6" t="n">
        <v>0.22</v>
      </c>
      <c r="E106" s="5">
        <f>C106*D106</f>
        <v/>
      </c>
      <c r="F106" s="4" t="n">
        <v>0</v>
      </c>
      <c r="G106" s="5">
        <f>(C106+E106)*F106</f>
        <v/>
      </c>
      <c r="H106" s="4" t="n"/>
      <c r="I106" s="4" t="n"/>
      <c r="J106" s="4" t="n"/>
      <c r="K106" s="4" t="n"/>
      <c r="L106" s="4" t="n"/>
      <c r="M106" s="4" t="n"/>
      <c r="N106" s="3" t="inlineStr">
        <is>
          <t>Required thermal plate for the selected Regen Clamp. The clamp is only rated 20 A forward in free air but 80 A continuous on this plate, so the plate is not optional for the humanoid motor bus.</t>
        </is>
      </c>
      <c r="O106" s="3" t="inlineStr">
        <is>
          <t>Exact ODrive S1 heat-spreader kit, 70 x 70 mm with thermal pad and mounting screws. Clamp plus plate mass is 0.079 kg according to ODrive; mount the plate to a ventilated rigid panel.</t>
        </is>
      </c>
      <c r="P106" s="4" t="inlineStr">
        <is>
          <t>Safety</t>
        </is>
      </c>
      <c r="Q106" s="4" t="inlineStr">
        <is>
          <t>https://eu.odriverobotics.com/shop/heat-spreader-plate-for-odrive-s1</t>
        </is>
      </c>
      <c r="R106" s="4" t="inlineStr">
        <is>
          <t>Reference</t>
        </is>
      </c>
      <c r="S106" s="13" t="n">
        <v>0</v>
      </c>
      <c r="T106" s="4" t="n"/>
    </row>
    <row r="107" hidden="1">
      <c r="A107" s="3" t="inlineStr">
        <is>
          <t>[MEASUREMENT FALLBACK qty0] ARCOL HS50 2R J brake resistor</t>
        </is>
      </c>
      <c r="B107" s="4" t="inlineStr">
        <is>
          <t>DigiKey</t>
        </is>
      </c>
      <c r="C107" s="5" t="n">
        <v>10</v>
      </c>
      <c r="D107" s="6" t="n">
        <v>0.22</v>
      </c>
      <c r="E107" s="5">
        <f>C107*D107</f>
        <v/>
      </c>
      <c r="F107" s="4" t="n">
        <v>0</v>
      </c>
      <c r="G107" s="5">
        <f>(C107+E107)*F107</f>
        <v/>
      </c>
      <c r="H107" s="4" t="n"/>
      <c r="I107" s="4" t="n"/>
      <c r="J107" s="4" t="n"/>
      <c r="K107" s="4" t="n"/>
      <c r="L107" s="4" t="n"/>
      <c r="M107" s="4" t="n"/>
      <c r="N107" s="3" t="inlineStr">
        <is>
          <t>Initial external brake resistor for the ODrive Regen Clamp. Overall mounting envelope 72.5 x 29.7 x 14.8 mm; resistor body 49.1 x 14.2 mm. Mount to an aluminum heat-spreading panel, never directly to PA-CF or near the battery.</t>
        </is>
      </c>
      <c r="O107" s="3" t="inlineStr">
        <is>
          <t>Exact SKU HS50 2R J, 2 ohm, 50 W. At about 57 V it can carry roughly 28.5 A / 1.6 kW only as a short pulse; 50 W is the continuous thermal rating with the specified heatsink. This is a bring-up choice, not a proven walking rating: log regenerated energy and upgrade the resistor before dynamic walking if measured average or pulse energy exceeds its datasheet limits.</t>
        </is>
      </c>
      <c r="P107" s="4" t="inlineStr">
        <is>
          <t>Safety</t>
        </is>
      </c>
      <c r="Q107" s="4" t="inlineStr">
        <is>
          <t>https://www.digikey.com/en/products/detail/ohmite/HS50-2R-J/5307846</t>
        </is>
      </c>
      <c r="R107" s="4" t="inlineStr">
        <is>
          <t>Reference</t>
        </is>
      </c>
      <c r="S107" s="13" t="n">
        <v>0</v>
      </c>
      <c r="T107" s="4" t="n"/>
    </row>
    <row r="108" hidden="1">
      <c r="A108" s="3" t="inlineStr">
        <is>
          <t>[REJECTED qty0] RobStride Bleeder Module - 64 V activation in 48 V mode</t>
        </is>
      </c>
      <c r="B108" s="4" t="inlineStr">
        <is>
          <t>RobStride</t>
        </is>
      </c>
      <c r="C108" s="5" t="n">
        <v>43</v>
      </c>
      <c r="D108" s="6" t="n">
        <v>0.22</v>
      </c>
      <c r="E108" s="5">
        <f>C108*D108</f>
        <v/>
      </c>
      <c r="F108" s="4" t="n">
        <v>0</v>
      </c>
      <c r="G108" s="5">
        <f>(C108+E108)*F108</f>
        <v/>
      </c>
      <c r="H108" s="4" t="n"/>
      <c r="I108" s="4" t="n"/>
      <c r="J108" s="4" t="n"/>
      <c r="K108" s="4" t="n"/>
      <c r="L108" s="4" t="n"/>
      <c r="M108" s="4" t="n"/>
      <c r="N108" s="3" t="inlineStr">
        <is>
          <t>Not selected. RobStride publishes 64 +/-0.5 V activation and 59 +/-0.5 V release in 48 V mode, while the actuator manual documents a 60 V motor overvoltage fault.</t>
        </is>
      </c>
      <c r="O108" s="3" t="inlineStr">
        <is>
          <t>The threshold is therefore too high for this 13S/RobStride bus. The 24 V mode threshold is too low. Keep this row only to prevent it being selected again without a revised manufacturer specification.</t>
        </is>
      </c>
      <c r="P108" s="4" t="inlineStr">
        <is>
          <t>Safety</t>
        </is>
      </c>
      <c r="Q108" s="4" t="inlineStr">
        <is>
          <t>https://aifitlab.com/products/robstride-bleeder-module</t>
        </is>
      </c>
      <c r="R108" s="4" t="inlineStr">
        <is>
          <t>Reference</t>
        </is>
      </c>
      <c r="S108" s="4" t="n"/>
      <c r="T108" s="4" t="n"/>
    </row>
    <row r="109">
      <c r="A109" s="7" t="inlineStr">
        <is>
          <t>Eaton Bussmann 16220-2 - 2-pole distribution block, 175 A, 600 V AC/DC</t>
        </is>
      </c>
      <c r="B109" s="8" t="inlineStr">
        <is>
          <t>DigiKey</t>
        </is>
      </c>
      <c r="C109" s="9" t="n">
        <v>65</v>
      </c>
      <c r="D109" s="10" t="n">
        <v>0.22</v>
      </c>
      <c r="E109" s="9">
        <f>C109*D109</f>
        <v/>
      </c>
      <c r="F109" s="8" t="n">
        <v>1</v>
      </c>
      <c r="G109" s="9">
        <f>(C109+E109)*F109</f>
        <v/>
      </c>
      <c r="H109" s="8" t="n"/>
      <c r="I109" s="8" t="n"/>
      <c r="J109" s="8" t="n"/>
      <c r="K109" s="8" t="n"/>
      <c r="L109" s="8" t="n"/>
      <c r="M109" s="8" t="n"/>
      <c r="N109" s="7" t="inlineStr">
        <is>
          <t>Exactly one downstream insulated block splits the switched actuator bus into left leg, right leg, waist/neck, left arm and right arm branches. It is not duplicated: the unswitched battery tap for the WEHO compute rail is a simple protected branch upstream of the LEV100.</t>
        </is>
      </c>
      <c r="O109" s="7" t="inlineStr">
        <is>
          <t>Exact SKU 16220-2: 76.2 x 50.8 x 25.4 mm, 0.151 kg, 175 A and 600 VDC. One block is sufficient; keep it covered and strain-relieved.</t>
        </is>
      </c>
      <c r="P109" s="8" t="inlineStr">
        <is>
          <t>Motor power</t>
        </is>
      </c>
      <c r="Q109" s="11" t="inlineStr">
        <is>
          <t>https://www.digikey.com/en/products/detail/eaton-bussmann-electrical-division/16220-2/5449651</t>
        </is>
      </c>
      <c r="R109" s="8" t="inlineStr">
        <is>
          <t>Phase 1</t>
        </is>
      </c>
      <c r="S109" s="12" t="n">
        <v>0.151</v>
      </c>
      <c r="T109" s="8" t="n"/>
    </row>
    <row r="110" hidden="1">
      <c r="A110" s="3" t="inlineStr">
        <is>
          <t>[MEASUREMENT-ONLY qty0] KEMET ALS80A123KE100 - external bulk capacitor 12,000 uF 100 V</t>
        </is>
      </c>
      <c r="B110" s="4" t="inlineStr">
        <is>
          <t>DigiKey</t>
        </is>
      </c>
      <c r="C110" s="5" t="n">
        <v>29.4</v>
      </c>
      <c r="D110" s="6" t="n">
        <v>0.22</v>
      </c>
      <c r="E110" s="5">
        <f>C110*D110</f>
        <v/>
      </c>
      <c r="F110" s="4" t="n">
        <v>0</v>
      </c>
      <c r="G110" s="5">
        <f>(C110+E110)*F110</f>
        <v/>
      </c>
      <c r="H110" s="4" t="n"/>
      <c r="I110" s="4" t="n"/>
      <c r="J110" s="4" t="n"/>
      <c r="K110" s="4" t="n"/>
      <c r="L110" s="4" t="n"/>
      <c r="M110" s="4" t="n"/>
      <c r="N110" s="3" t="inlineStr">
        <is>
          <t>Not installed in the compact baseline. RobStride does not specify a central external bulk bank and every actuator has a local integrated driver/DC link. Add external capacitance only if oscilloscope measurements show unacceptable bus droop or high-frequency ripple after the battery, harness and Regen Clamp are installed.</t>
        </is>
      </c>
      <c r="O110" s="3" t="inlineStr">
        <is>
          <t>Exact SKU ALS80A123KE100 retained as a measured fallback: cylinder diameter 51 x maximum height 84 mm, 0.350 kg each, screw terminals, 100 V. The previous two-capacitor 24,000 uF bank occupied too much torso volume, added 0.700 kg and increased precharge energy without a measured requirement.</t>
        </is>
      </c>
      <c r="P110" s="4" t="inlineStr">
        <is>
          <t>Motor power</t>
        </is>
      </c>
      <c r="Q110" s="4" t="inlineStr">
        <is>
          <t>https://www.digikey.com/en/products/detail/kemet/ALS80A123KE100/6872081</t>
        </is>
      </c>
      <c r="R110" s="4" t="inlineStr">
        <is>
          <t>Reference</t>
        </is>
      </c>
      <c r="S110" s="13" t="n">
        <v>0</v>
      </c>
      <c r="T110" s="4" t="n"/>
    </row>
    <row r="111" hidden="1">
      <c r="A111" s="3" t="inlineStr">
        <is>
          <t>[MEASUREMENT-ONLY qty0] KEMET V4 - vertical 51 mm clamp for optional bulk capacitor</t>
        </is>
      </c>
      <c r="B111" s="4" t="inlineStr">
        <is>
          <t>Newark</t>
        </is>
      </c>
      <c r="C111" s="5" t="n">
        <v>5.4</v>
      </c>
      <c r="D111" s="6" t="n">
        <v>0.22</v>
      </c>
      <c r="E111" s="5">
        <f>C111*D111</f>
        <v/>
      </c>
      <c r="F111" s="4" t="n">
        <v>0</v>
      </c>
      <c r="G111" s="5">
        <f>(C111+E111)*F111</f>
        <v/>
      </c>
      <c r="H111" s="4" t="n"/>
      <c r="I111" s="4" t="n"/>
      <c r="J111" s="4" t="n"/>
      <c r="K111" s="4" t="n"/>
      <c r="L111" s="4" t="n"/>
      <c r="M111" s="4" t="n"/>
      <c r="N111" s="3" t="inlineStr">
        <is>
          <t>Mechanical clamp required only if the optional ALS80 capacitor is reactivated after bus measurements.</t>
        </is>
      </c>
      <c r="O111" s="3" t="inlineStr">
        <is>
          <t>Exact KEMET V4 / Newark 09WX5727. Never install a large screw-terminal capacitor unsupported or with its safety vent covered.</t>
        </is>
      </c>
      <c r="P111" s="4" t="inlineStr">
        <is>
          <t>Motor power</t>
        </is>
      </c>
      <c r="Q111" s="4" t="inlineStr">
        <is>
          <t>https://www.newark.com/kemet/v4/clamp-capacitor-51mm/dp/09WX5727</t>
        </is>
      </c>
      <c r="R111" s="4" t="inlineStr">
        <is>
          <t>Reference</t>
        </is>
      </c>
      <c r="S111" s="13" t="n">
        <v>0</v>
      </c>
      <c r="T111" s="4" t="n"/>
    </row>
    <row r="112" hidden="1">
      <c r="A112" s="3" t="inlineStr">
        <is>
          <t>[TO DESIGN qty0] Cover isolante ventilata per PDU, fusibili and condensatori</t>
        </is>
      </c>
      <c r="B112" s="4" t="inlineStr">
        <is>
          <t>custom PA-CF / policarbonato</t>
        </is>
      </c>
      <c r="C112" s="5" t="n">
        <v>0</v>
      </c>
      <c r="D112" s="6" t="n">
        <v>0.22</v>
      </c>
      <c r="E112" s="5">
        <f>C112*D112</f>
        <v/>
      </c>
      <c r="F112" s="4" t="n">
        <v>0</v>
      </c>
      <c r="G112" s="5">
        <f>(C112+E112)*F112</f>
        <v/>
      </c>
      <c r="H112" s="4" t="n"/>
      <c r="I112" s="4" t="n"/>
      <c r="J112" s="4" t="n"/>
      <c r="K112" s="4" t="n"/>
      <c r="L112" s="4" t="n"/>
      <c r="M112" s="4" t="n"/>
      <c r="N112" s="3" t="inlineStr">
        <is>
          <t>Non-conductive cover preventing accidental contact with the one distribution block, screw terminals, fuses and cable lugs of the 48 V panel.</t>
        </is>
      </c>
      <c r="O112" s="3" t="inlineStr">
        <is>
          <t>Obbligatorio prima del collaudo completo. Disegnarlo dopo il layout del pannello elettrico; lasciare accesso manutenzione and ventilazione al Regen Clamp and alla sua resistenza, che devono essere montati su alluminio.</t>
        </is>
      </c>
      <c r="P112" s="4" t="inlineStr">
        <is>
          <t>Motor power</t>
        </is>
      </c>
      <c r="Q112" s="4" t="inlineStr">
        <is>
          <t>https://www.digikey.com/en/products/detail/eaton-bussmann-electrical-division/16220-2/5449651</t>
        </is>
      </c>
      <c r="R112" s="4" t="inlineStr">
        <is>
          <t>Phase 1</t>
        </is>
      </c>
      <c r="S112" s="4" t="n"/>
      <c r="T112" s="4" t="n"/>
    </row>
    <row r="113">
      <c r="A113" s="7" t="inlineStr">
        <is>
          <t>Littelfuse BF1 142.5631.5702 - leg branch fuse, 70 A, 58 VDC, M5</t>
        </is>
      </c>
      <c r="B113" s="8" t="inlineStr">
        <is>
          <t>DigiKey</t>
        </is>
      </c>
      <c r="C113" s="9" t="n">
        <v>4.3</v>
      </c>
      <c r="D113" s="10" t="n">
        <v>0.22</v>
      </c>
      <c r="E113" s="9">
        <f>C113*D113</f>
        <v/>
      </c>
      <c r="F113" s="8" t="n">
        <v>2</v>
      </c>
      <c r="G113" s="9">
        <f>(C113+E113)*F113</f>
        <v/>
      </c>
      <c r="H113" s="8" t="n"/>
      <c r="I113" s="8" t="n"/>
      <c r="J113" s="8" t="n"/>
      <c r="K113" s="8" t="n"/>
      <c r="L113" s="8" t="n"/>
      <c r="M113" s="8" t="n"/>
      <c r="N113" s="7" t="inlineStr">
        <is>
          <t>Two slow-blow fuses, one per leg, on the positive 16 mm2 branch cables.</t>
        </is>
      </c>
      <c r="O113" s="7" t="inlineStr">
        <is>
          <t>Baseline rating to verify with measured current and cable temperature during progressive tests.</t>
        </is>
      </c>
      <c r="P113" s="8" t="inlineStr">
        <is>
          <t>Safety</t>
        </is>
      </c>
      <c r="Q113" s="11" t="inlineStr">
        <is>
          <t>https://www.digikey.com/en/products/detail/littelfuse-inc/142-5631-5702/2515910</t>
        </is>
      </c>
      <c r="R113" s="8" t="inlineStr">
        <is>
          <t>Phase 2</t>
        </is>
      </c>
      <c r="S113" s="12" t="n">
        <v>0.02</v>
      </c>
      <c r="T113" s="8" t="n"/>
    </row>
    <row r="114">
      <c r="A114" s="7" t="inlineStr">
        <is>
          <t>Littelfuse BF1 142.5631.5402 - waist/neck branch fuse, 40 A, 58 VDC, M5</t>
        </is>
      </c>
      <c r="B114" s="8" t="inlineStr">
        <is>
          <t>DigiKey</t>
        </is>
      </c>
      <c r="C114" s="9" t="n">
        <v>4.3</v>
      </c>
      <c r="D114" s="10" t="n">
        <v>0.22</v>
      </c>
      <c r="E114" s="9">
        <f>C114*D114</f>
        <v/>
      </c>
      <c r="F114" s="8" t="n">
        <v>1</v>
      </c>
      <c r="G114" s="9">
        <f>(C114+E114)*F114</f>
        <v/>
      </c>
      <c r="H114" s="8" t="n"/>
      <c r="I114" s="8" t="n"/>
      <c r="J114" s="8" t="n"/>
      <c r="K114" s="8" t="n"/>
      <c r="L114" s="8" t="n"/>
      <c r="M114" s="8" t="n"/>
      <c r="N114" s="7" t="inlineStr">
        <is>
          <t>Slow-blow fuse on the waist/neck positive 6 mm2 branch.</t>
        </is>
      </c>
      <c r="O114" s="7" t="inlineStr">
        <is>
          <t>Verify current and temperature during tests.</t>
        </is>
      </c>
      <c r="P114" s="8" t="inlineStr">
        <is>
          <t>Safety</t>
        </is>
      </c>
      <c r="Q114" s="11" t="inlineStr">
        <is>
          <t>https://www.digikey.com/en/products/detail/littelfuse-inc/142-5631-5402/2515916</t>
        </is>
      </c>
      <c r="R114" s="8" t="inlineStr">
        <is>
          <t>Phase 3</t>
        </is>
      </c>
      <c r="S114" s="12" t="n">
        <v>0.01</v>
      </c>
      <c r="T114" s="8" t="n"/>
    </row>
    <row r="115">
      <c r="A115" s="7" t="inlineStr">
        <is>
          <t>Littelfuse BF1 142.5631.5302 - arm branch fuse, 30 A, 58 VDC, M5 - RIGHT arm</t>
        </is>
      </c>
      <c r="B115" s="8" t="inlineStr">
        <is>
          <t>DigiKey</t>
        </is>
      </c>
      <c r="C115" s="9" t="n">
        <v>4.3</v>
      </c>
      <c r="D115" s="10" t="n">
        <v>0.22</v>
      </c>
      <c r="E115" s="9">
        <f>C115*D115</f>
        <v/>
      </c>
      <c r="F115" s="8" t="n">
        <v>1</v>
      </c>
      <c r="G115" s="9">
        <f>(C115+E115)*F115</f>
        <v/>
      </c>
      <c r="H115" s="8" t="n"/>
      <c r="I115" s="8" t="n"/>
      <c r="J115" s="8" t="n"/>
      <c r="K115" s="8" t="n"/>
      <c r="L115" s="8" t="n"/>
      <c r="M115" s="8" t="n"/>
      <c r="N115" s="7" t="inlineStr">
        <is>
          <t>Two slow-blow fuses, one per arm, on the positive 6 mm2 branch cables.</t>
        </is>
      </c>
      <c r="O115" s="7" t="inlineStr">
        <is>
          <t>Verify current and temperature during tests.</t>
        </is>
      </c>
      <c r="P115" s="8" t="inlineStr">
        <is>
          <t>Safety</t>
        </is>
      </c>
      <c r="Q115" s="11" t="inlineStr">
        <is>
          <t>https://www.digikey.com/en/products/detail/littelfuse-inc/142-5631-5302/2515908</t>
        </is>
      </c>
      <c r="R115" s="8" t="inlineStr">
        <is>
          <t>Phase 1</t>
        </is>
      </c>
      <c r="S115" s="12" t="n">
        <v>0.01</v>
      </c>
      <c r="T115" s="8" t="n"/>
    </row>
    <row r="116">
      <c r="A116" s="7" t="inlineStr">
        <is>
          <t>Littelfuse BF1 142.5631.5302 - arm branch fuse, 30 A, 58 VDC, M5 - LEFT arm</t>
        </is>
      </c>
      <c r="B116" s="8" t="inlineStr">
        <is>
          <t>DigiKey</t>
        </is>
      </c>
      <c r="C116" s="9" t="n">
        <v>4.3</v>
      </c>
      <c r="D116" s="10" t="n">
        <v>0.22</v>
      </c>
      <c r="E116" s="9">
        <f>C116*D116</f>
        <v/>
      </c>
      <c r="F116" s="8" t="n">
        <v>1</v>
      </c>
      <c r="G116" s="9">
        <f>(C116+E116)*F116</f>
        <v/>
      </c>
      <c r="H116" s="8" t="n"/>
      <c r="I116" s="8" t="n"/>
      <c r="J116" s="8" t="n"/>
      <c r="K116" s="8" t="n"/>
      <c r="L116" s="8" t="n"/>
      <c r="M116" s="8" t="n"/>
      <c r="N116" s="7" t="inlineStr">
        <is>
          <t>Two slow-blow fuses, one per arm, on the positive 6 mm2 branch cables.</t>
        </is>
      </c>
      <c r="O116" s="7" t="inlineStr">
        <is>
          <t>Verify current and temperature during tests.</t>
        </is>
      </c>
      <c r="P116" s="8" t="inlineStr">
        <is>
          <t>Safety</t>
        </is>
      </c>
      <c r="Q116" s="11" t="inlineStr">
        <is>
          <t>https://www.digikey.com/en/products/detail/littelfuse-inc/142-5631-5302/2515908</t>
        </is>
      </c>
      <c r="R116" s="8" t="inlineStr">
        <is>
          <t>Phase 3</t>
        </is>
      </c>
      <c r="S116" s="12" t="n">
        <v>0.01</v>
      </c>
      <c r="T116" s="8" t="n"/>
    </row>
    <row r="117">
      <c r="A117" s="7" t="inlineStr">
        <is>
          <t>Littelfuse 0FHM0002XP - waterproof inline MINI fuse holder for safety-control branch</t>
        </is>
      </c>
      <c r="B117" s="8" t="inlineStr">
        <is>
          <t>DigiKey</t>
        </is>
      </c>
      <c r="C117" s="9" t="n">
        <v>9.75</v>
      </c>
      <c r="D117" s="10" t="n">
        <v>0.22</v>
      </c>
      <c r="E117" s="9">
        <f>C117*D117</f>
        <v/>
      </c>
      <c r="F117" s="8" t="n">
        <v>1</v>
      </c>
      <c r="G117" s="9">
        <f>(C117+E117)*F117</f>
        <v/>
      </c>
      <c r="H117" s="8" t="n"/>
      <c r="I117" s="8" t="n"/>
      <c r="J117" s="8" t="n"/>
      <c r="K117" s="8" t="n"/>
      <c r="L117" s="8" t="n"/>
      <c r="M117" s="8" t="n"/>
      <c r="N117" s="7" t="inlineStr">
        <is>
          <t>Inline fuse holder for the 24 V safety-control branch: the e-stop chain and the LEV100 contactor and CIT precharge-relay coil circuits.</t>
        </is>
      </c>
      <c r="O117" s="7" t="inlineStr">
        <is>
          <t>This branch taps the always-on WEHO 24 V rail: a converter failure de-energizes the contactor coil and drops the motor bus (fail-safe). The e-stop chain must remain hardwired and independent of Thor software.</t>
        </is>
      </c>
      <c r="P117" s="8" t="inlineStr">
        <is>
          <t>Safety</t>
        </is>
      </c>
      <c r="Q117" s="11" t="inlineStr">
        <is>
          <t>https://www.digikey.com/en/products/detail/littelfuse-commercial-vehicle-products/0FHM0002XP/3427089</t>
        </is>
      </c>
      <c r="R117" s="8" t="inlineStr">
        <is>
          <t>Phase 1</t>
        </is>
      </c>
      <c r="S117" s="12" t="n">
        <v>0.03</v>
      </c>
      <c r="T117" s="8" t="n"/>
    </row>
    <row r="118">
      <c r="A118" s="7" t="inlineStr">
        <is>
          <t>Littelfuse 0997002.WXN - MINI fuse for safety-control branch, 2 A, 58 VDC</t>
        </is>
      </c>
      <c r="B118" s="8" t="inlineStr">
        <is>
          <t>DigiKey</t>
        </is>
      </c>
      <c r="C118" s="9" t="n">
        <v>0.95</v>
      </c>
      <c r="D118" s="10" t="n">
        <v>0.22</v>
      </c>
      <c r="E118" s="9">
        <f>C118*D118</f>
        <v/>
      </c>
      <c r="F118" s="8" t="n">
        <v>1</v>
      </c>
      <c r="G118" s="9">
        <f>(C118+E118)*F118</f>
        <v/>
      </c>
      <c r="H118" s="8" t="n"/>
      <c r="I118" s="8" t="n"/>
      <c r="J118" s="8" t="n"/>
      <c r="K118" s="8" t="n"/>
      <c r="L118" s="8" t="n"/>
      <c r="M118" s="8" t="n"/>
      <c r="N118" s="7" t="inlineStr">
        <is>
          <t>Dedicated fuse for the e-stop chain and the LEV100/CIT 24 V coil circuits.</t>
        </is>
      </c>
      <c r="O118" s="7" t="inlineStr">
        <is>
          <t>Keeps a control fault from relying only on the main fuse.</t>
        </is>
      </c>
      <c r="P118" s="8" t="inlineStr">
        <is>
          <t>Safety</t>
        </is>
      </c>
      <c r="Q118" s="11" t="inlineStr">
        <is>
          <t>https://www.digikey.com/en/products/detail/littelfuse-inc/0997002-WXN/701054</t>
        </is>
      </c>
      <c r="R118" s="8" t="inlineStr">
        <is>
          <t>Phase 1</t>
        </is>
      </c>
      <c r="S118" s="12" t="n">
        <v>0.001</v>
      </c>
      <c r="T118" s="8" t="n"/>
    </row>
    <row r="119">
      <c r="A119" s="7" t="inlineStr">
        <is>
          <t>Littelfuse 0FHM0002XP - waterproof input fuse holder for 24 V converter</t>
        </is>
      </c>
      <c r="B119" s="8" t="inlineStr">
        <is>
          <t>DigiKey</t>
        </is>
      </c>
      <c r="C119" s="9" t="n">
        <v>9.75</v>
      </c>
      <c r="D119" s="10" t="n">
        <v>0.22</v>
      </c>
      <c r="E119" s="9">
        <f>C119*D119</f>
        <v/>
      </c>
      <c r="F119" s="8" t="n">
        <v>1</v>
      </c>
      <c r="G119" s="9">
        <f>(C119+E119)*F119</f>
        <v/>
      </c>
      <c r="H119" s="8" t="n"/>
      <c r="I119" s="8" t="n"/>
      <c r="J119" s="8" t="n"/>
      <c r="K119" s="8" t="n"/>
      <c r="L119" s="8" t="n"/>
      <c r="M119" s="8" t="n"/>
      <c r="N119" s="7" t="inlineStr">
        <is>
          <t>One input fuse holder for the selected WEHO WH-C482410 24 V converter. The compute rail remains upstream of the actuator contactor so Thor logs an e-stop event.</t>
        </is>
      </c>
      <c r="O119" s="7" t="inlineStr">
        <is>
          <t>Exact SKU 0FHM0002XP, 32-58 VDC waterproof holder with two 12 AWG pigtails about 94 mm long.</t>
        </is>
      </c>
      <c r="P119" s="8" t="inlineStr">
        <is>
          <t>Safety</t>
        </is>
      </c>
      <c r="Q119" s="11" t="inlineStr">
        <is>
          <t>https://www.digikey.com/en/products/detail/littelfuse-commercial-vehicle-products/0FHM0002XP/3427089</t>
        </is>
      </c>
      <c r="R119" s="8" t="inlineStr">
        <is>
          <t>Phase 1</t>
        </is>
      </c>
      <c r="S119" s="12" t="n">
        <v>0.03</v>
      </c>
      <c r="T119" s="8" t="n"/>
    </row>
    <row r="120">
      <c r="A120" s="7" t="inlineStr">
        <is>
          <t>Littelfuse 0997015.WXN - 15 A 58 VDC MINI input fuse for 24 V converter</t>
        </is>
      </c>
      <c r="B120" s="8" t="inlineStr">
        <is>
          <t>DigiKey</t>
        </is>
      </c>
      <c r="C120" s="9" t="n">
        <v>0.95</v>
      </c>
      <c r="D120" s="10" t="n">
        <v>0.22</v>
      </c>
      <c r="E120" s="9">
        <f>C120*D120</f>
        <v/>
      </c>
      <c r="F120" s="8" t="n">
        <v>1</v>
      </c>
      <c r="G120" s="9">
        <f>(C120+E120)*F120</f>
        <v/>
      </c>
      <c r="H120" s="8" t="n"/>
      <c r="I120" s="8" t="n"/>
      <c r="J120" s="8" t="n"/>
      <c r="K120" s="8" t="n"/>
      <c r="L120" s="8" t="n"/>
      <c r="M120" s="8" t="n"/>
      <c r="N120" s="7" t="inlineStr">
        <is>
          <t>Input fuse for the selected 240 W converter. At 240 W, 42 V battery and 96% efficiency, worst-case continuous input is about 6.0 A.</t>
        </is>
      </c>
      <c r="O120" s="7" t="inlineStr">
        <is>
          <t>Exact SKU 0997015.WXN, 15 A, 58 VDC. The rating leaves converter inrush/startup margin; confirm measured inrush and cable temperature before final release.</t>
        </is>
      </c>
      <c r="P120" s="8" t="inlineStr">
        <is>
          <t>Safety</t>
        </is>
      </c>
      <c r="Q120" s="11" t="inlineStr">
        <is>
          <t>https://www.digikey.com/en/products/detail/littelfuse-inc/0997015-WXN/701060</t>
        </is>
      </c>
      <c r="R120" s="8" t="inlineStr">
        <is>
          <t>Phase 1</t>
        </is>
      </c>
      <c r="S120" s="12" t="n">
        <v>0.001</v>
      </c>
      <c r="T120" s="8" t="n"/>
    </row>
    <row r="121">
      <c r="A121" s="7" t="inlineStr">
        <is>
          <t>Littelfuse 0FHM0002XP - 24 V output branch fuse holders for Thor, hands and USB hub</t>
        </is>
      </c>
      <c r="B121" s="8" t="inlineStr">
        <is>
          <t>DigiKey</t>
        </is>
      </c>
      <c r="C121" s="9" t="n">
        <v>9.75</v>
      </c>
      <c r="D121" s="10" t="n">
        <v>0.22</v>
      </c>
      <c r="E121" s="9">
        <f>C121*D121</f>
        <v/>
      </c>
      <c r="F121" s="8" t="n">
        <v>3</v>
      </c>
      <c r="G121" s="9">
        <f>(C121+E121)*F121</f>
        <v/>
      </c>
      <c r="H121" s="8" t="n"/>
      <c r="I121" s="8" t="n"/>
      <c r="J121" s="8" t="n"/>
      <c r="K121" s="8" t="n"/>
      <c r="L121" s="8" t="n"/>
      <c r="M121" s="8" t="n"/>
      <c r="N121" s="7" t="inlineStr">
        <is>
          <t>Three protected 24 V outputs from the selected WEHO rail: one for Thor, one for both RH56DFX hands and one for the powered USB hub. The baseline e-stop opens only the motor contactor; Thor remains alive to log it.</t>
        </is>
      </c>
      <c r="O121" s="7" t="inlineStr">
        <is>
          <t>Exact SKU 0FHM0002XP, qty 3. Use one 10 A fuse for Thor, one 15 A fuse for the hand branch and one 2 A fuse for the USB hub. Keep branch wiring short and mechanically supported.</t>
        </is>
      </c>
      <c r="P121" s="8" t="inlineStr">
        <is>
          <t>Safety</t>
        </is>
      </c>
      <c r="Q121" s="11" t="inlineStr">
        <is>
          <t>https://www.digikey.com/en/products/detail/littelfuse-commercial-vehicle-products/0FHM0002XP/3427089</t>
        </is>
      </c>
      <c r="R121" s="8" t="inlineStr">
        <is>
          <t>Phase 1</t>
        </is>
      </c>
      <c r="S121" s="12" t="n">
        <v>0.09</v>
      </c>
      <c r="T121" s="8" t="n"/>
    </row>
    <row r="122">
      <c r="A122" s="7" t="inlineStr">
        <is>
          <t>Littelfuse 0997010.WXN - 10 A 58 VDC MINI fuse for Thor 24 V branch</t>
        </is>
      </c>
      <c r="B122" s="8" t="inlineStr">
        <is>
          <t>DigiKey</t>
        </is>
      </c>
      <c r="C122" s="9" t="n">
        <v>0.95</v>
      </c>
      <c r="D122" s="10" t="n">
        <v>0.22</v>
      </c>
      <c r="E122" s="9">
        <f>C122*D122</f>
        <v/>
      </c>
      <c r="F122" s="8" t="n">
        <v>1</v>
      </c>
      <c r="G122" s="9">
        <f>(C122+E122)*F122</f>
        <v/>
      </c>
      <c r="H122" s="8" t="n"/>
      <c r="I122" s="8" t="n"/>
      <c r="J122" s="8" t="n"/>
      <c r="K122" s="8" t="n"/>
      <c r="L122" s="8" t="n"/>
      <c r="M122" s="8" t="n"/>
      <c r="N122" s="7" t="inlineStr">
        <is>
          <t>Dedicated output fuse between the 24 V rail and Thor Micro-Fit harness. Thor accepts up to 8 A at 9-28 V; use adequately sized conductors and keep the selected nvpmodel at or below 130 W.</t>
        </is>
      </c>
      <c r="O122" s="7" t="inlineStr">
        <is>
          <t>Exact SKU 0997010.WXN. Final fuse coordination must be confirmed from measured Thor boot and workload current.</t>
        </is>
      </c>
      <c r="P122" s="8" t="inlineStr">
        <is>
          <t>Safety</t>
        </is>
      </c>
      <c r="Q122" s="11" t="inlineStr">
        <is>
          <t>https://www.digikey.com/en/products/detail/littelfuse-inc/0997010-WXN/701059</t>
        </is>
      </c>
      <c r="R122" s="8" t="inlineStr">
        <is>
          <t>Phase 1</t>
        </is>
      </c>
      <c r="S122" s="12" t="n">
        <v>0.001</v>
      </c>
      <c r="T122" s="8" t="n"/>
    </row>
    <row r="123">
      <c r="A123" s="7" t="inlineStr">
        <is>
          <t>Littelfuse 0997015.WXN - 15 A 58 VDC MINI fuse for both hands at 24 V</t>
        </is>
      </c>
      <c r="B123" s="8" t="inlineStr">
        <is>
          <t>DigiKey</t>
        </is>
      </c>
      <c r="C123" s="9" t="n">
        <v>0.95</v>
      </c>
      <c r="D123" s="10" t="n">
        <v>0.22</v>
      </c>
      <c r="E123" s="9">
        <f>C123*D123</f>
        <v/>
      </c>
      <c r="F123" s="8" t="n">
        <v>1</v>
      </c>
      <c r="G123" s="9">
        <f>(C123+E123)*F123</f>
        <v/>
      </c>
      <c r="H123" s="8" t="n"/>
      <c r="I123" s="8" t="n"/>
      <c r="J123" s="8" t="n"/>
      <c r="K123" s="8" t="n"/>
      <c r="L123" s="8" t="n"/>
      <c r="M123" s="8" t="n"/>
      <c r="N123" s="7" t="inlineStr">
        <is>
          <t>Output fuse feeding both RH56DFX hands from the shared WEHO 24 V rail. The RH56DFX manual lists 2 A maximum per hand at 24 V; 15 A leaves startup margin, but measure real simultaneous hand current before final fuse release.</t>
        </is>
      </c>
      <c r="O123" s="7" t="inlineStr">
        <is>
          <t>Exact SKU 0997015.WXN. Split and individually protect the hands later if measured fault-current behavior or the Inspire manual requires it.</t>
        </is>
      </c>
      <c r="P123" s="8" t="inlineStr">
        <is>
          <t>Safety</t>
        </is>
      </c>
      <c r="Q123" s="11" t="inlineStr">
        <is>
          <t>https://www.digikey.com/en/products/detail/littelfuse-inc/0997015-WXN/701060</t>
        </is>
      </c>
      <c r="R123" s="8" t="inlineStr">
        <is>
          <t>Phase 1</t>
        </is>
      </c>
      <c r="S123" s="12" t="n">
        <v>0.001</v>
      </c>
      <c r="T123" s="8" t="n"/>
    </row>
    <row r="124">
      <c r="A124" s="7" t="inlineStr">
        <is>
          <t>Littelfuse 0997002.WXN - 2 A 58 VDC MINI fuse for powered USB hub at 24 V</t>
        </is>
      </c>
      <c r="B124" s="8" t="inlineStr">
        <is>
          <t>DigiKey</t>
        </is>
      </c>
      <c r="C124" s="9" t="n">
        <v>0.95</v>
      </c>
      <c r="D124" s="10" t="n">
        <v>0.22</v>
      </c>
      <c r="E124" s="9">
        <f>C124*D124</f>
        <v/>
      </c>
      <c r="F124" s="8" t="n">
        <v>1</v>
      </c>
      <c r="G124" s="9">
        <f>(C124+E124)*F124</f>
        <v/>
      </c>
      <c r="H124" s="8" t="n"/>
      <c r="I124" s="8" t="n"/>
      <c r="J124" s="8" t="n"/>
      <c r="K124" s="8" t="n"/>
      <c r="L124" s="8" t="n"/>
      <c r="M124" s="8" t="n"/>
      <c r="N124" s="7" t="inlineStr">
        <is>
          <t>Output fuse for the Waveshare four-port industrial USB hub. Its maximum downstream USB budget is 25 W; 2 A at 24 V leaves conversion and startup margin.</t>
        </is>
      </c>
      <c r="O124" s="7" t="inlineStr">
        <is>
          <t>Exact SKU 0997002.WXN. Do not use this branch to power motors or hands.</t>
        </is>
      </c>
      <c r="P124" s="8" t="inlineStr">
        <is>
          <t>Safety</t>
        </is>
      </c>
      <c r="Q124" s="11" t="inlineStr">
        <is>
          <t>https://www.digikey.com/en/products/detail/littelfuse-inc/0997002-WXN/701054</t>
        </is>
      </c>
      <c r="R124" s="8" t="inlineStr">
        <is>
          <t>Phase 2</t>
        </is>
      </c>
      <c r="S124" s="12" t="n">
        <v>0.001</v>
      </c>
      <c r="T124" s="8" t="n"/>
    </row>
    <row r="125" ht="20" customHeight="1">
      <c r="A125" s="2" t="inlineStr">
        <is>
          <t>4 - BATTERY AND MOBILE POWER - after bench validation</t>
        </is>
      </c>
    </row>
    <row r="126">
      <c r="A126" s="7" t="inlineStr">
        <is>
          <t>Bicycle Motor Works 48V 9Ah Molicel P45B compact battery, 13S2P, 45A/100A BMS</t>
        </is>
      </c>
      <c r="B126" s="8" t="inlineStr">
        <is>
          <t>Bicycle Motor Works</t>
        </is>
      </c>
      <c r="C126" s="9" t="n">
        <v>358.7</v>
      </c>
      <c r="D126" s="10" t="n">
        <v>0.22</v>
      </c>
      <c r="E126" s="9">
        <f>C126*D126</f>
        <v/>
      </c>
      <c r="F126" s="8" t="n">
        <v>1</v>
      </c>
      <c r="G126" s="9">
        <f>(C126+E126)*F126</f>
        <v/>
      </c>
      <c r="H126" s="8" t="n"/>
      <c r="I126" s="8" t="n"/>
      <c r="J126" s="8" t="n"/>
      <c r="K126" s="8" t="n"/>
      <c r="L126" s="8" t="n"/>
      <c r="M126" s="8" t="n"/>
      <c r="N126" s="7" t="inlineStr">
        <is>
          <t>Selected compact G1-energy battery format: 13S2P with 26 Molicel P45B 21700 cells, 46.8 V nominal, 54.6 V full, 9 Ah and 421.2 Wh. Integrated balancing/protection BMS, 45 A continuous / 100 A maximum, XT90-S anti-spark discharge and XT60 charge lead. Published envelope 165.1 x 101.6 x 76.2 mm (6.5 x 4 x 3 in); published mass is under 5 lb, so CAD/BOM conservatively use 2.27 kg.</t>
        </is>
      </c>
      <c r="O126" s="7" t="inlineStr">
        <is>
          <t>Exact product SKU 10647581026769, USD 409.99 checked 2026-07-11 (EUR 358.70 net budget at 1 EUR = 1.1430 USD; shipping/import excluded). This is smaller than the G1 reference 182 x 120 x 80 mm in every oriented dimension and has exactly the same nominal energy. ORDER GATE: confirm shipment of lithium batteries to Italy, exact finished mass, whether 100 A is peak and for how long, BMS trip curve, short-circuit current, regen-charge current limit, charger and final connector lead lengths. CAD reserve: 170 x 106 x 81 mm plus 35-50 mm cable-bend space at the connector face.</t>
        </is>
      </c>
      <c r="P126" s="8" t="inlineStr">
        <is>
          <t>Battery</t>
        </is>
      </c>
      <c r="Q126" s="11" t="inlineStr">
        <is>
          <t>https://www.bicyclemotorworks.com/product-page/48v-94ah-molicel-p45b-lithium-ion-ebike-battery</t>
        </is>
      </c>
      <c r="R126" s="8" t="inlineStr">
        <is>
          <t>Phase 1</t>
        </is>
      </c>
      <c r="S126" s="12" t="n">
        <v>2.27</v>
      </c>
      <c r="T126" s="11" t="inlineStr">
        <is>
          <t>https://www.bicyclemotorworks.com/product-page/48v-94ah-molicel-p45b-lithium-ion-ebike-battery</t>
        </is>
      </c>
    </row>
    <row r="127" hidden="1">
      <c r="A127" s="3" t="inlineStr">
        <is>
          <t>[ORDER WITH BATTERY qty0] Supplier-matched 54.6V charger for P45B 13S pack</t>
        </is>
      </c>
      <c r="B127" s="4" t="inlineStr">
        <is>
          <t>Bicycle Motor Works / EU pack builder</t>
        </is>
      </c>
      <c r="C127" s="5" t="n">
        <v>0</v>
      </c>
      <c r="D127" s="6" t="n">
        <v>0.22</v>
      </c>
      <c r="E127" s="5">
        <f>C127*D127</f>
        <v/>
      </c>
      <c r="F127" s="4" t="n">
        <v>0</v>
      </c>
      <c r="G127" s="5">
        <f>(C127+E127)*F127</f>
        <v/>
      </c>
      <c r="H127" s="4" t="n"/>
      <c r="I127" s="4" t="n"/>
      <c r="J127" s="4" t="n"/>
      <c r="K127" s="4" t="n"/>
      <c r="L127" s="4" t="n"/>
      <c r="M127" s="4" t="n"/>
      <c r="N127" s="3" t="inlineStr">
        <is>
          <t>Matched CC/CV charger for the selected 13S Li-ion pack, connected to its separate XT60 charge lead. Target charge voltage 54.6 V; charge current must respect the finished BMS and wiring specification.</t>
        </is>
      </c>
      <c r="O127" s="3" t="inlineStr">
        <is>
          <t>Do not choose a generic charger before the pack supplier confirms polarity, XT60 sex, recommended current and BMS charge limit. Order the charger and mating lead in the same quotation as the battery.</t>
        </is>
      </c>
      <c r="P127" s="4" t="inlineStr">
        <is>
          <t>Battery</t>
        </is>
      </c>
      <c r="Q127" s="4" t="inlineStr">
        <is>
          <t>https://www.bicyclemotorworks.com/product-page/48v-94ah-molicel-p45b-lithium-ion-ebike-battery</t>
        </is>
      </c>
      <c r="R127" s="4" t="inlineStr">
        <is>
          <t>Phase 1</t>
        </is>
      </c>
      <c r="S127" s="4" t="n"/>
      <c r="T127" s="4" t="n"/>
    </row>
    <row r="128" hidden="1">
      <c r="A128" s="3" t="inlineStr">
        <is>
          <t>[ORDER WITH BATTERY qty0] AMASS XT90S anti-spark mating connector for pack discharge lead</t>
        </is>
      </c>
      <c r="B128" s="4" t="inlineStr">
        <is>
          <t>AMASS / battery supplier</t>
        </is>
      </c>
      <c r="C128" s="5" t="n">
        <v>1.5</v>
      </c>
      <c r="D128" s="6" t="n">
        <v>0.22</v>
      </c>
      <c r="E128" s="5">
        <f>C128*D128</f>
        <v/>
      </c>
      <c r="F128" s="4" t="n">
        <v>0</v>
      </c>
      <c r="G128" s="5">
        <f>(C128+E128)*F128</f>
        <v/>
      </c>
      <c r="H128" s="4" t="n"/>
      <c r="I128" s="4" t="n"/>
      <c r="J128" s="4" t="n"/>
      <c r="K128" s="4" t="n"/>
      <c r="L128" s="4" t="n"/>
      <c r="M128" s="4" t="n"/>
      <c r="N128" s="3" t="inlineStr">
        <is>
          <t>Robot-side mate for the pack's XT90-S discharge connector, crimped/soldered onto the 25 mm2 trunk. This is the physical service disconnect: separate it only with the robot stopped and the LEV100 open.</t>
        </is>
      </c>
      <c r="O128" s="3" t="inlineStr">
        <is>
          <t>Confirm the delivered pack's connector gender and lead length before ordering; the anti-spark resistor sits in the male XT90-S half. Order one spare body and heat-shrink. The XT60 charge-side mate belongs to the matched charger quotation (see charger row).</t>
        </is>
      </c>
      <c r="P128" s="4" t="inlineStr">
        <is>
          <t>Battery</t>
        </is>
      </c>
      <c r="Q128" s="4" t="inlineStr">
        <is>
          <t>https://www.amass-china.com/</t>
        </is>
      </c>
      <c r="R128" s="4" t="inlineStr">
        <is>
          <t>Phase 1</t>
        </is>
      </c>
      <c r="S128" s="4" t="n"/>
      <c r="T128" s="4" t="n"/>
    </row>
    <row r="129" hidden="1">
      <c r="A129" s="3" t="inlineStr">
        <is>
          <t>[TO SELECT qty0] Dual-source 48 V OR-ing stage - battery + grid simultaneously</t>
        </is>
      </c>
      <c r="B129" s="4" t="inlineStr">
        <is>
          <t>electrical engineer selection</t>
        </is>
      </c>
      <c r="C129" s="5" t="n">
        <v>0</v>
      </c>
      <c r="D129" s="6" t="n">
        <v>0.22</v>
      </c>
      <c r="E129" s="5">
        <f>C129*D129</f>
        <v/>
      </c>
      <c r="F129" s="4" t="n">
        <v>0</v>
      </c>
      <c r="G129" s="5">
        <f>(C129+E129)*F129</f>
        <v/>
      </c>
      <c r="H129" s="4" t="n"/>
      <c r="I129" s="4" t="n"/>
      <c r="J129" s="4" t="n"/>
      <c r="K129" s="4" t="n"/>
      <c r="L129" s="4" t="n"/>
      <c r="M129" s="4" t="n"/>
      <c r="N129" s="3" t="inlineStr">
        <is>
          <t>User requirement 2026-07-19: bench operation with BOTH the RSP-3000-48 grid supply AND the battery connected at the same time (no battery drain at the desk, seamless battery takeover). The two sources must NEVER be hard-paralleled: the fixed 48 V supply would float-charge the 13S pack uncontrolled and either source can back-feed the other. An ideal-diode OR-ing stage (one branch per source, common output into the main fuse) is required for this mode.</t>
        </is>
      </c>
      <c r="O129" s="3" t="inlineStr">
        <is>
          <t>TO SELECT by the electrical engineer: 60 V-class ideal-diode controller/module per branch (LTC4357/LM5050-class), rated for the bench current (arm bench &lt;= 20 A; the full robot would need a 70 A-class stage). INTERIM SAFE PROCEDURE until it exists: swap sources at the XT90-S connector - battery OR grid, never both plugged in. Bench-verify OR-ing behaviour and inrush before trusting it.</t>
        </is>
      </c>
      <c r="P129" s="4" t="inlineStr">
        <is>
          <t>Power</t>
        </is>
      </c>
      <c r="Q129" s="4" t="inlineStr">
        <is>
          <t>https://www.digikey.com/en/products/result?keywords=ideal+diode+controller+65V</t>
        </is>
      </c>
      <c r="R129" s="4" t="inlineStr">
        <is>
          <t>Phase 1</t>
        </is>
      </c>
      <c r="S129" s="4" t="n"/>
      <c r="T129" s="4" t="n"/>
    </row>
    <row r="130" hidden="1">
      <c r="A130" s="3" t="inlineStr">
        <is>
          <t>[EU FALLBACK qty0] Tõuksi Vabrik 48V 9Ah Molicel P45B 13S2P pack with 60A BMS</t>
        </is>
      </c>
      <c r="B130" s="4" t="inlineStr">
        <is>
          <t>Tõuksi Vabrik, Estonia</t>
        </is>
      </c>
      <c r="C130" s="5" t="n">
        <v>341</v>
      </c>
      <c r="D130" s="6" t="n">
        <v>0.22</v>
      </c>
      <c r="E130" s="5">
        <f>C130*D130</f>
        <v/>
      </c>
      <c r="F130" s="4" t="n">
        <v>0</v>
      </c>
      <c r="G130" s="5">
        <f>(C130+E130)*F130</f>
        <v/>
      </c>
      <c r="H130" s="4" t="n"/>
      <c r="I130" s="4" t="n"/>
      <c r="J130" s="4" t="n"/>
      <c r="K130" s="4" t="n"/>
      <c r="L130" s="4" t="n"/>
      <c r="M130" s="4" t="n"/>
      <c r="N130" s="3" t="inlineStr">
        <is>
          <t>EU-built pack with the same core architecture: 13S2P, 26 Molicel P45B cells, 48 V class, 9 Ah / 421.2 Wh, 60 A BMS, 8 A charger specification and published mass 2.04 kg. Published price EUR 416 including VAT.</t>
        </is>
      </c>
      <c r="O130" s="3" t="inlineStr">
        <is>
          <t>Preferred procurement fallback for Italy if Bicycle Motor Works cannot ship. The builder does not publish final dimensions for this configuration: request a maximum finished envelope of 165 x 102 x 76 mm, XT90-S discharge, separate charge lead, BMS trip data and a drawing before ordering. Do not substitute their lower-current 20 A P50B pack.</t>
        </is>
      </c>
      <c r="P130" s="4" t="inlineStr">
        <is>
          <t>Battery</t>
        </is>
      </c>
      <c r="Q130" s="4" t="inlineStr">
        <is>
          <t>https://www.xn--tuksivabrik-ffb.ee/batteries/</t>
        </is>
      </c>
      <c r="R130" s="4" t="inlineStr">
        <is>
          <t>Phase 2</t>
        </is>
      </c>
      <c r="S130" s="4" t="n"/>
      <c r="T130" s="4" t="n"/>
    </row>
    <row r="131" hidden="1">
      <c r="A131" s="3" t="inlineStr">
        <is>
          <t>[ALT SUPPLIER-CONFIRMATION qty0] Dan-Tech Energy 13S2P 48V 10Ah 60A softpack</t>
        </is>
      </c>
      <c r="B131" s="4" t="inlineStr">
        <is>
          <t>Dan-Tech Energy</t>
        </is>
      </c>
      <c r="C131" s="5" t="n">
        <v>284.43</v>
      </c>
      <c r="D131" s="6" t="n">
        <v>0.22</v>
      </c>
      <c r="E131" s="5">
        <f>C131*D131</f>
        <v/>
      </c>
      <c r="F131" s="4" t="n">
        <v>0</v>
      </c>
      <c r="G131" s="5">
        <f>(C131+E131)*F131</f>
        <v/>
      </c>
      <c r="H131" s="4" t="n"/>
      <c r="I131" s="4" t="n"/>
      <c r="J131" s="4" t="n"/>
      <c r="K131" s="4" t="n"/>
      <c r="L131" s="4" t="n"/>
      <c r="M131" s="4" t="n"/>
      <c r="N131" s="3" t="inlineStr">
        <is>
          <t>Very compact EU alternative using Samsung INR21700-50S cells: 13S2P, 48 V nominal, 10 Ah / 480 Wh, 60 A continuous and 80 A peak. Size 280 x 35 x 130 mm, weight 2.2 kg, XT90 output; listed delivery is 7-9 working days.</t>
        </is>
      </c>
      <c r="O131" s="3" t="inlineStr">
        <is>
          <t>Price checked 2026-07-11: EUR 347 including 22% VAT. Do not select yet: the same product page says 'XT90 (No BMS)' while also advertising full BMS protection, CAN/RS485/UART and balancing. Ask Dan-Tech for a written quotation for the exact 60 A pack with an installed smart BMS, charger, connector pinout and final dimensions/mass.</t>
        </is>
      </c>
      <c r="P131" s="4" t="inlineStr">
        <is>
          <t>Battery</t>
        </is>
      </c>
      <c r="Q131" s="4" t="inlineStr">
        <is>
          <t>https://shop.danenergy.com/it/products/li-ion-battery-softpack-13s2p-48v-10ah-60a</t>
        </is>
      </c>
      <c r="R131" s="4" t="inlineStr">
        <is>
          <t>Phase 2</t>
        </is>
      </c>
      <c r="S131" s="4" t="n"/>
      <c r="T131" s="4" t="n"/>
    </row>
    <row r="132" hidden="1">
      <c r="A132" s="3" t="inlineStr">
        <is>
          <t>[REMOVED qty0] Albright ED250B-1 manual battery disconnect</t>
        </is>
      </c>
      <c r="B132" s="4" t="inlineStr">
        <is>
          <t>Kit Elec Shop</t>
        </is>
      </c>
      <c r="C132" s="5" t="n">
        <v>91</v>
      </c>
      <c r="D132" s="6" t="n">
        <v>0.22</v>
      </c>
      <c r="E132" s="5">
        <f>C132*D132</f>
        <v/>
      </c>
      <c r="F132" s="4" t="n">
        <v>0</v>
      </c>
      <c r="G132" s="5">
        <f>(C132+E132)*F132</f>
        <v/>
      </c>
      <c r="H132" s="4" t="n"/>
      <c r="I132" s="4" t="n"/>
      <c r="J132" s="4" t="n"/>
      <c r="K132" s="4" t="n"/>
      <c r="L132" s="4" t="n"/>
      <c r="M132" s="4" t="n"/>
      <c r="N132" s="3" t="inlineStr">
        <is>
          <t>Sezionatore manuale di bordo sul positivo battery per manutenzione and distacco fisico di emergenza. Non sostituisce il contattore automatico SW80B-10 ne il fungo XB5AS8442. Riserva CAD prudente 70 x 70 x 100 mm incluso spazio maniglia; massa BOM 0.468 kg.</t>
        </is>
      </c>
      <c r="O132" s="3" t="inlineStr">
        <is>
          <t>Exact SKU ED250B-1. Price checked 2026-06-02: EUR 91 netto / EUR 109.20 IVA inclusa. Rating 250 A continui, 96 VDC with blowouts. Usarlo come sezionatore a vuoto o emergenza, non come interruttore ordinario sotto carico; check la sagoma definitiva dal disegno Albright prima dei fori.</t>
        </is>
      </c>
      <c r="P132" s="4" t="inlineStr">
        <is>
          <t>Safety</t>
        </is>
      </c>
      <c r="Q132" s="4" t="inlineStr">
        <is>
          <t>https://www.kit-elec-shop.com/gb/power-relays/4519-ed250b-1-manual-single-pole-emergency-stop-96v-250a.html</t>
        </is>
      </c>
      <c r="R132" s="4" t="inlineStr">
        <is>
          <t>Reference</t>
        </is>
      </c>
      <c r="S132" s="13" t="n">
        <v>0</v>
      </c>
      <c r="T132" s="4" t="n"/>
    </row>
    <row r="133" hidden="1">
      <c r="A133" s="3" t="inlineStr">
        <is>
          <t>[REF qty0] Unitree G1 original smart battery 13S 46.8V 9Ah</t>
        </is>
      </c>
      <c r="B133" s="4" t="inlineStr">
        <is>
          <t>Reichelt / Unitree</t>
        </is>
      </c>
      <c r="C133" s="5" t="n">
        <v>680.33</v>
      </c>
      <c r="D133" s="6" t="n">
        <v>0.22</v>
      </c>
      <c r="E133" s="5">
        <f>C133*D133</f>
        <v/>
      </c>
      <c r="F133" s="4" t="n">
        <v>0</v>
      </c>
      <c r="G133" s="5">
        <f>(C133+E133)*F133</f>
        <v/>
      </c>
      <c r="H133" s="4" t="n"/>
      <c r="I133" s="4" t="n"/>
      <c r="J133" s="4" t="n"/>
      <c r="K133" s="4" t="n"/>
      <c r="L133" s="4" t="n"/>
      <c r="M133" s="4" t="n"/>
      <c r="N133" s="3" t="inlineStr">
        <is>
          <t>Exact G1 energy and packaging reference: 13S, 46.8 V nominal, 54.6 V full, 9 Ah, 421.2 Wh, 120 x 80 x 182 mm and 2.552 kg listed product weight.</t>
        </is>
      </c>
      <c r="O133" s="3" t="inlineStr">
        <is>
          <t>Not selected for the custom robot. Unitree documents load-detection protection: the battery cannot be switched on unless inserted into a G1 and switches off when removed. Reichelt price checked 2026-07-11: EUR 830 including German 19% VAT, in stock; the proprietary enable/load interface makes it a poor standalone source.</t>
        </is>
      </c>
      <c r="P133" s="4" t="inlineStr">
        <is>
          <t>Battery</t>
        </is>
      </c>
      <c r="Q133" s="4" t="inlineStr">
        <is>
          <t>https://www.reichelt.com/de/en/shop/product/unitree_g1_battery_9000_mah-421788</t>
        </is>
      </c>
      <c r="R133" s="4" t="inlineStr">
        <is>
          <t>Reference</t>
        </is>
      </c>
      <c r="S133" s="4" t="n"/>
      <c r="T133" s="4" t="n"/>
    </row>
    <row r="134" hidden="1">
      <c r="A134" s="3" t="inlineStr">
        <is>
          <t>[ALT qty0] ENERprof TN13S5P-50-01 - Li-Ion battery 13S5P 48V 25Ah 100A BMS</t>
        </is>
      </c>
      <c r="B134" s="4" t="inlineStr">
        <is>
          <t>ENERprof</t>
        </is>
      </c>
      <c r="C134" s="5" t="n">
        <v>1024.59</v>
      </c>
      <c r="D134" s="6" t="n">
        <v>0.22</v>
      </c>
      <c r="E134" s="5">
        <f>C134*D134</f>
        <v/>
      </c>
      <c r="F134" s="4" t="n">
        <v>0</v>
      </c>
      <c r="G134" s="5">
        <f>(C134+E134)*F134</f>
        <v/>
      </c>
      <c r="H134" s="4" t="n"/>
      <c r="I134" s="4" t="n"/>
      <c r="J134" s="4" t="n"/>
      <c r="K134" s="4" t="n"/>
      <c r="L134" s="4" t="n"/>
      <c r="M134" s="4" t="n"/>
      <c r="N134" s="3" t="inlineStr">
        <is>
          <t>Previous high-endurance baseline: 48 V nominal, 54.6 V full, 1200 Wh, integrated BMS, 100 A continuous and 180 A peak for up to 10 s. Size 280 x 80 x 130 mm, weight 5.2 kg.</t>
        </is>
      </c>
      <c r="O134" s="3" t="inlineStr">
        <is>
          <t>Deactivated because it carries 2.85 times the G1 energy and adds about 2.93 kg versus the selected compact P45B candidate. Keep only if measured runtime requires the larger pack. Confirm connectors and BMS behavior before ordering.</t>
        </is>
      </c>
      <c r="P134" s="4" t="inlineStr">
        <is>
          <t>Battery</t>
        </is>
      </c>
      <c r="Q134" s="4" t="inlineStr">
        <is>
          <t>https://enerprof.de/en/products/li-ion-akku-softpack-13s5p-48v-25ah-100a</t>
        </is>
      </c>
      <c r="R134" s="4" t="inlineStr">
        <is>
          <t>Phase 2</t>
        </is>
      </c>
      <c r="S134" s="13" t="n">
        <v>0</v>
      </c>
      <c r="T134" s="4" t="n"/>
    </row>
    <row r="135" hidden="1">
      <c r="A135" s="3" t="inlineStr">
        <is>
          <t>[ALT qty0] Dan-Tech Energy Softpack 13S5P 48V 25Ah 100A - configurare Smart BMS + AS150U</t>
        </is>
      </c>
      <c r="B135" s="4" t="inlineStr">
        <is>
          <t>Dan-Tech Energy</t>
        </is>
      </c>
      <c r="C135" s="5" t="n">
        <v>607.38</v>
      </c>
      <c r="D135" s="6" t="n">
        <v>0.22</v>
      </c>
      <c r="E135" s="5">
        <f>C135*D135</f>
        <v/>
      </c>
      <c r="F135" s="4" t="n">
        <v>0</v>
      </c>
      <c r="G135" s="5">
        <f>(C135+E135)*F135</f>
        <v/>
      </c>
      <c r="H135" s="4" t="n"/>
      <c r="I135" s="4" t="n"/>
      <c r="J135" s="4" t="n"/>
      <c r="K135" s="4" t="n"/>
      <c r="L135" s="4" t="n"/>
      <c r="M135" s="4" t="n"/>
      <c r="N135" s="3" t="inlineStr">
        <is>
          <t>Alternative pronta in formato minimale termoretraibile: 65 celle cilindriche Samsung INR21700-50S, 1200 Wh, 100 A continui, 200 A peak, 280 x 80 x 130 mm, 5.2 kg.</t>
        </is>
      </c>
      <c r="O135" s="3" t="inlineStr">
        <is>
          <t>Pagina prodotto esatta. Prezzo visibile 2026-06-02: EUR 741 IVA inclusa per configurazione base XT90 without BMS; prima dell'ordine chiedere il totale della variante Smart BMS + AS150U. Non attivare la riga without BMS.</t>
        </is>
      </c>
      <c r="P135" s="4" t="inlineStr">
        <is>
          <t>Battery</t>
        </is>
      </c>
      <c r="Q135" s="4" t="inlineStr">
        <is>
          <t>https://shop.danenergy.com/he-eu/products/li-ion-battery-softpack-13s5p-48v-25ah-100a-1</t>
        </is>
      </c>
      <c r="R135" s="4" t="inlineStr">
        <is>
          <t>Phase 2</t>
        </is>
      </c>
      <c r="S135" s="4" t="n"/>
      <c r="T135" s="4" t="n"/>
    </row>
    <row r="136" hidden="1">
      <c r="A136" s="3" t="inlineStr">
        <is>
          <t>[REMOVED qty0] MEAN WELL RSD-500C-24 enclosed DC/DC</t>
        </is>
      </c>
      <c r="B136" s="4" t="inlineStr">
        <is>
          <t>DigiKey</t>
        </is>
      </c>
      <c r="C136" s="5" t="n">
        <v>192</v>
      </c>
      <c r="D136" s="6" t="n">
        <v>0.22</v>
      </c>
      <c r="E136" s="5">
        <f>C136*D136</f>
        <v/>
      </c>
      <c r="F136" s="4" t="n">
        <v>0</v>
      </c>
      <c r="G136" s="5">
        <f>(C136+E136)*F136</f>
        <v/>
      </c>
      <c r="H136" s="4" t="n"/>
      <c r="I136" s="4" t="n"/>
      <c r="J136" s="4" t="n"/>
      <c r="K136" s="4" t="n"/>
      <c r="L136" s="4" t="n"/>
      <c r="M136" s="4" t="n"/>
      <c r="N136" s="3" t="inlineStr">
        <is>
          <t>Single always-on 24 V rail for Thor, the powered USB hub and both hands. Output 24 V / 19.2 A / 461 W, efficiency about 93%. Envelope 237 x 100 x 41 mm, mass 1.45 kg. It replaces the previous 202 W + 300 W pair and saves about 0.86 kg plus one large enclosure.</t>
        </is>
      </c>
      <c r="O136" s="3" t="inlineStr">
        <is>
          <t>Exact SKU RSD-500C-24. Power budget: Thor capped at 130 W + USB hub maximum 25 W + two hands provisioned at 120 W each = 395 W, leaving about 66 W. This margin disappears if Thor is allowed to approach its 8 A input limit, so enforce a &lt;=130 W nvpmodel. Converter is before the motor contactor; the separate Omron relay cuts hand power on e-stop.</t>
        </is>
      </c>
      <c r="P136" s="4" t="inlineStr">
        <is>
          <t>Power</t>
        </is>
      </c>
      <c r="Q136" s="4" t="inlineStr">
        <is>
          <t>https://www.digikey.it/it/products/detail/mean-well-usa-inc/RSD-500C-24/12341362</t>
        </is>
      </c>
      <c r="R136" s="4" t="inlineStr">
        <is>
          <t>Reference</t>
        </is>
      </c>
      <c r="S136" s="13" t="n">
        <v>0</v>
      </c>
      <c r="T136" s="4" t="n"/>
    </row>
    <row r="137">
      <c r="A137" s="7" t="inlineStr">
        <is>
          <t>WEHO WH-C482410 enclosed DC/DC converter, 48 V to 24 V, 10 A, 240 W</t>
        </is>
      </c>
      <c r="B137" s="8" t="inlineStr">
        <is>
          <t>WEHO (manufacturer direct)</t>
        </is>
      </c>
      <c r="C137" s="9" t="n">
        <v>0</v>
      </c>
      <c r="D137" s="10" t="n">
        <v>0.22</v>
      </c>
      <c r="E137" s="9">
        <f>C137*D137</f>
        <v/>
      </c>
      <c r="F137" s="8" t="n">
        <v>1</v>
      </c>
      <c r="G137" s="9">
        <f>(C137+E137)*F137</f>
        <v/>
      </c>
      <c r="H137" s="8" t="n"/>
      <c r="I137" s="8" t="n"/>
      <c r="J137" s="8" t="n"/>
      <c r="K137" s="8" t="n"/>
      <c r="L137" s="8" t="n"/>
      <c r="M137" s="8" t="n"/>
      <c r="N137" s="7" t="inlineStr">
        <is>
          <t>Selected compact walking configuration: sealed non-isolated DC/DC from the 13S battery to a 24 V / 10 A / 240 W rail for Thor, the powered USB hub, low-power interfaces and, per user decision 2026-07-17, both RH56DFX hands. Envelope 74 x 74 x 32 mm; mass 0.300 kg; 160 mm flying leads.</t>
        </is>
      </c>
      <c r="O137" s="7" t="inlineStr">
        <is>
          <t>Exact model WH-C482410. Manufacturer specifies 30-60 V input, 24 V 10 A, 96% efficiency, natural cooling, 250 mVpp ripple with an external 22 uF low-ESR capacitor, 12 A over-current protection and 45 C rated temperature rise. User decision 2026-07-17: the first build powers Thor capped to 130 W plus hub/interfaces AND both RH56DFX hands from this single rail. At the published 2 A per hand the fully coincident worst case is about 241 W versus 240 W rated (12 A over-current protection), over budget only when everything peaks at once. Mitigations: lower the Thor nvpmodel during sustained two-hand work, stagger hand commands in software, and bench-log rail voltage and current with both hands gripping under full GPU load. If measured hand draw approaches Inspire's 5 A provisioning recommendation this converter is undersized: move to RSD-300C-24 or Cincon CHB350. It is a manufacturer-direct generic part: bench-test boot transients, sustained 130 W GPU load, temperature and EMI before locomotion. Quote price and Italy shipping before ordering.</t>
        </is>
      </c>
      <c r="P137" s="8" t="inlineStr">
        <is>
          <t>Power</t>
        </is>
      </c>
      <c r="Q137" s="11" t="inlineStr">
        <is>
          <t>https://www.wehopower.com/product/48v-to-24v-10a-240w-dc-to-dc-converter</t>
        </is>
      </c>
      <c r="R137" s="8" t="inlineStr">
        <is>
          <t>Phase 1</t>
        </is>
      </c>
      <c r="S137" s="12" t="n">
        <v>0.3</v>
      </c>
      <c r="T137" s="8" t="n"/>
    </row>
    <row r="138" hidden="1">
      <c r="A138" s="3" t="inlineStr">
        <is>
          <t>[TO DESIGN qty0] Low-ESR output capacitor &gt;= 22 uF for the WEHO 24 V rail</t>
        </is>
      </c>
      <c r="B138" s="4" t="inlineStr">
        <is>
          <t>electrical engineer selection</t>
        </is>
      </c>
      <c r="C138" s="5" t="n">
        <v>0</v>
      </c>
      <c r="D138" s="6" t="n">
        <v>0.22</v>
      </c>
      <c r="E138" s="5">
        <f>C138*D138</f>
        <v/>
      </c>
      <c r="F138" s="4" t="n">
        <v>0</v>
      </c>
      <c r="G138" s="5">
        <f>(C138+E138)*F138</f>
        <v/>
      </c>
      <c r="H138" s="4" t="n"/>
      <c r="I138" s="4" t="n"/>
      <c r="J138" s="4" t="n"/>
      <c r="K138" s="4" t="n"/>
      <c r="L138" s="4" t="n"/>
      <c r="M138" s="4" t="n"/>
      <c r="N138" s="3" t="inlineStr">
        <is>
          <t>The WEHO datasheet specifies its 250 mVpp output ripple only with an external low-ESR capacitor of at least 22 uF mounted at the converter output. Without it the rail feeding Thor, the hub and the hands is out of specification.</t>
        </is>
      </c>
      <c r="O138" s="3" t="inlineStr">
        <is>
          <t>Select a &gt;= 35 V low-ESR polymer or electrolytic part and mount it immediately at the WEHO output terminals; confirm value and ESR from bench ripple measurement at full load. Release together with SEQ-PWR-01. Missing data: measured ripple, lead lengths and mounting.</t>
        </is>
      </c>
      <c r="P138" s="4" t="inlineStr">
        <is>
          <t>Power</t>
        </is>
      </c>
      <c r="Q138" s="4" t="inlineStr">
        <is>
          <t>https://www.wehopower.com/product/48v-to-24v-10a-240w-dc-to-dc-converter</t>
        </is>
      </c>
      <c r="R138" s="4" t="inlineStr">
        <is>
          <t>Phase 1</t>
        </is>
      </c>
      <c r="S138" s="4" t="n"/>
      <c r="T138" s="4" t="n"/>
    </row>
    <row r="139" hidden="1">
      <c r="A139" s="3" t="inlineStr">
        <is>
          <t>[ALT qty0] Cincon CHB350-48S24 isolated half-brick DC/DC, 24 V 350 W</t>
        </is>
      </c>
      <c r="B139" s="4" t="inlineStr">
        <is>
          <t>DigiKey / Mouser</t>
        </is>
      </c>
      <c r="C139" s="5" t="n">
        <v>139.1</v>
      </c>
      <c r="D139" s="6" t="n">
        <v>0.22</v>
      </c>
      <c r="E139" s="5">
        <f>C139*D139</f>
        <v/>
      </c>
      <c r="F139" s="4" t="n">
        <v>0</v>
      </c>
      <c r="G139" s="5">
        <f>(C139+E139)*F139</f>
        <v/>
      </c>
      <c r="H139" s="4" t="n"/>
      <c r="I139" s="4" t="n"/>
      <c r="J139" s="4" t="n"/>
      <c r="K139" s="4" t="n"/>
      <c r="L139" s="4" t="n"/>
      <c r="M139" s="4" t="n"/>
      <c r="N139" s="3" t="inlineStr">
        <is>
          <t>Compact 350 W isolated module, 61.0 x 57.9 x 13.2 mm. It can support Thor plus later hands only with a correctly designed carrier board.</t>
        </is>
      </c>
      <c r="O139" s="3" t="inlineStr">
        <is>
          <t>Exact model CHB350-48S24. Not selected for the first walking build because it needs the project carrier below. Keep as a later compact 350 W upgrade after an electrical engineer releases its schematic, thermal design, creepage and connector pinout.</t>
        </is>
      </c>
      <c r="P139" s="4" t="inlineStr">
        <is>
          <t>Power</t>
        </is>
      </c>
      <c r="Q139" s="4" t="inlineStr">
        <is>
          <t>https://www.digikey.com/en/products/detail/cincon-electronics-co-ltd/CHB350-48S24/9684431</t>
        </is>
      </c>
      <c r="R139" s="4" t="inlineStr">
        <is>
          <t>Reference</t>
        </is>
      </c>
      <c r="S139" s="13" t="n">
        <v>0</v>
      </c>
      <c r="T139" s="4" t="n"/>
    </row>
    <row r="140" hidden="1">
      <c r="A140" s="3" t="inlineStr">
        <is>
          <t>[ALT qty0] UHG-PWR-001 open-source Cincon CHB350 power carrier assembly</t>
        </is>
      </c>
      <c r="B140" s="4" t="inlineStr">
        <is>
          <t>Project PCB / JLCPCB</t>
        </is>
      </c>
      <c r="C140" s="5" t="n">
        <v>60</v>
      </c>
      <c r="D140" s="6" t="n">
        <v>0.22</v>
      </c>
      <c r="E140" s="5">
        <f>C140*D140</f>
        <v/>
      </c>
      <c r="F140" s="4" t="n">
        <v>0</v>
      </c>
      <c r="G140" s="5">
        <f>(C140+E140)*F140</f>
        <v/>
      </c>
      <c r="H140" s="4" t="n"/>
      <c r="I140" s="4" t="n"/>
      <c r="J140" s="4" t="n"/>
      <c r="K140" s="4" t="n"/>
      <c r="L140" s="4" t="n"/>
      <c r="M140" s="4" t="n"/>
      <c r="N140" s="3" t="inlineStr">
        <is>
          <t>Project-specific carrier required only by the alternate Cincon CHB350 module. CAD reserve 90 x 85 x 30 mm; preliminary mass 0.150 kg.</t>
        </is>
      </c>
      <c r="O140" s="3" t="inlineStr">
        <is>
          <t>Not an off-the-shelf product and not needed with the selected WEHO converter. Its exact components must be released by an electrical engineer; do not fabricate it from an incomplete BOM.</t>
        </is>
      </c>
      <c r="P140" s="4" t="inlineStr">
        <is>
          <t>Power</t>
        </is>
      </c>
      <c r="Q140" s="4" t="inlineStr">
        <is>
          <t>https://www.cincon.com/productdownload/CHB350-series-application-note.pdf</t>
        </is>
      </c>
      <c r="R140" s="4" t="inlineStr">
        <is>
          <t>Reference</t>
        </is>
      </c>
      <c r="S140" s="13" t="n">
        <v>0</v>
      </c>
      <c r="T140" s="4" t="n"/>
    </row>
    <row r="141" hidden="1">
      <c r="A141" s="3" t="inlineStr">
        <is>
          <t>[COMPACT QUOTE-ONLY qty0] Micropower 0060323IP isolated 48 V to 24 V DC/DC, 400 W IP67</t>
        </is>
      </c>
      <c r="B141" s="4" t="inlineStr">
        <is>
          <t>Micropower Group</t>
        </is>
      </c>
      <c r="C141" s="5" t="n">
        <v>0</v>
      </c>
      <c r="D141" s="6" t="n">
        <v>0.22</v>
      </c>
      <c r="E141" s="5">
        <f>C141*D141</f>
        <v/>
      </c>
      <c r="F141" s="4" t="n">
        <v>0</v>
      </c>
      <c r="G141" s="5">
        <f>(C141+E141)*F141</f>
        <v/>
      </c>
      <c r="H141" s="4" t="n"/>
      <c r="I141" s="4" t="n"/>
      <c r="J141" s="4" t="n"/>
      <c r="K141" s="4" t="n"/>
      <c r="L141" s="4" t="n"/>
      <c r="M141" s="4" t="n"/>
      <c r="N141" s="3" t="inlineStr">
        <is>
          <t>Compact industrial alternative: 33-65 V input, 24.5 V output, 400 W, above 96% efficiency, isolated IP67 enclosure, 150 x 93 x 31 mm and 0.82 kg.</t>
        </is>
      </c>
      <c r="O141" s="3" t="inlineStr">
        <is>
          <t>Not selected: the current worst-case 24 V budget is 395 W, leaving only 5 W margin, and Micropower publishes no direct retail price or distributor stock. Reconsider only after measured hand/Thor consumption proves a lower continuous requirement and a written Italy quotation is acceptable.</t>
        </is>
      </c>
      <c r="P141" s="4" t="inlineStr">
        <is>
          <t>Battery</t>
        </is>
      </c>
      <c r="Q141" s="4" t="inlineStr">
        <is>
          <t>https://micropower-group.com/products/dcdc-converters-chargers/dcdc-converter-isolated/48-24-657</t>
        </is>
      </c>
      <c r="R141" s="4" t="inlineStr">
        <is>
          <t>Reference</t>
        </is>
      </c>
      <c r="S141" s="4" t="n"/>
      <c r="T141" s="4" t="n"/>
    </row>
    <row r="142" hidden="1">
      <c r="A142" s="3" t="inlineStr">
        <is>
          <t>[REMOVED qty0] Omron G7L-1A-B-CB DC48 hand-power relay</t>
        </is>
      </c>
      <c r="B142" s="4" t="inlineStr">
        <is>
          <t>DigiKey</t>
        </is>
      </c>
      <c r="C142" s="5" t="n">
        <v>18.5</v>
      </c>
      <c r="D142" s="6" t="n">
        <v>0.22</v>
      </c>
      <c r="E142" s="5">
        <f>C142*D142</f>
        <v/>
      </c>
      <c r="F142" s="4" t="n">
        <v>0</v>
      </c>
      <c r="G142" s="5">
        <f>(C142+E142)*F142</f>
        <v/>
      </c>
      <c r="H142" s="4" t="n"/>
      <c r="I142" s="4" t="n"/>
      <c r="J142" s="4" t="n"/>
      <c r="K142" s="4" t="n"/>
      <c r="L142" s="4" t="n"/>
      <c r="M142" s="4" t="n"/>
      <c r="N142" s="3" t="inlineStr">
        <is>
          <t>Normally-open relay in the 24 V hand branch. Its 48 V coil is driven by the same hardwired e-stop/key-enable chain as the SW80 contactor, so both hands lose power on e-stop while Thor and the IMU remain alive.</t>
        </is>
      </c>
      <c r="O142" s="3" t="inlineStr">
        <is>
          <t>Exact SKU G7L-1A-B-CB DC48, SPST-NO chassis mount, 30 A contact rating, 48 VDC coil. Approximate envelope 52.5 x 33.5 x 55 mm and mass budget 0.09 kg. Verify the manufacturer's DC contact rating and provide a bidirectional coil suppressor before final wiring.</t>
        </is>
      </c>
      <c r="P142" s="4" t="inlineStr">
        <is>
          <t>Safety</t>
        </is>
      </c>
      <c r="Q142" s="4" t="inlineStr">
        <is>
          <t>https://www.digikey.com/en/products/detail/omron-electronics-inc-emc-div/G7L-1A-B-CB-DC48/369334</t>
        </is>
      </c>
      <c r="R142" s="4" t="inlineStr">
        <is>
          <t>Reference</t>
        </is>
      </c>
      <c r="S142" s="13" t="n">
        <v>0</v>
      </c>
      <c r="T142" s="4" t="n"/>
    </row>
    <row r="143" hidden="1">
      <c r="A143" s="3" t="inlineStr">
        <is>
          <t>[ALT qty0] MEAN WELL SD-200C-24 dedicated Thor converter, 202 W</t>
        </is>
      </c>
      <c r="B143" s="4" t="inlineStr">
        <is>
          <t>DigiKey</t>
        </is>
      </c>
      <c r="C143" s="5" t="n">
        <v>74.90000000000001</v>
      </c>
      <c r="D143" s="6" t="n">
        <v>0.22</v>
      </c>
      <c r="E143" s="5">
        <f>C143*D143</f>
        <v/>
      </c>
      <c r="F143" s="4" t="n">
        <v>0</v>
      </c>
      <c r="G143" s="5">
        <f>(C143+E143)*F143</f>
        <v/>
      </c>
      <c r="H143" s="4" t="n"/>
      <c r="I143" s="4" t="n"/>
      <c r="J143" s="4" t="n"/>
      <c r="K143" s="4" t="n"/>
      <c r="L143" s="4" t="n"/>
      <c r="M143" s="4" t="n"/>
      <c r="N143" s="3" t="inlineStr">
        <is>
          <t>Previous dedicated-Thor converter: 215 x 115 x 50 mm, 1.117 kg. Valid electrically but not selected because the shared RSD-500C-24 is lighter and removes one large box.</t>
        </is>
      </c>
      <c r="O143" s="3" t="inlineStr">
        <is>
          <t>Keep only if the final design returns to completely independent compute and hand converters.</t>
        </is>
      </c>
      <c r="P143" s="4" t="inlineStr">
        <is>
          <t>Battery</t>
        </is>
      </c>
      <c r="Q143" s="4" t="inlineStr">
        <is>
          <t>https://www.digikey.com/en/products/detail/mean-well-usa-inc/SD-200C-24/7706499</t>
        </is>
      </c>
      <c r="R143" s="4" t="inlineStr">
        <is>
          <t>Reference</t>
        </is>
      </c>
      <c r="S143" s="4" t="n"/>
      <c r="T143" s="4" t="n"/>
    </row>
    <row r="144" hidden="1">
      <c r="A144" s="3" t="inlineStr">
        <is>
          <t>[ALT qty0] MEAN WELL RSD-300C-24 dedicated hand converter, 300 W</t>
        </is>
      </c>
      <c r="B144" s="4" t="inlineStr">
        <is>
          <t>DigiKey</t>
        </is>
      </c>
      <c r="C144" s="5" t="n">
        <v>118.37</v>
      </c>
      <c r="D144" s="6" t="n">
        <v>0.22</v>
      </c>
      <c r="E144" s="5">
        <f>C144*D144</f>
        <v/>
      </c>
      <c r="F144" s="4" t="n">
        <v>0</v>
      </c>
      <c r="G144" s="5">
        <f>(C144+E144)*F144</f>
        <v/>
      </c>
      <c r="H144" s="4" t="n"/>
      <c r="I144" s="4" t="n"/>
      <c r="J144" s="4" t="n"/>
      <c r="K144" s="4" t="n"/>
      <c r="L144" s="4" t="n"/>
      <c r="M144" s="4" t="n"/>
      <c r="N144" s="3" t="inlineStr">
        <is>
          <t>Previous dedicated hand converter: 216 x 96.5 x 40 mm, 1.190 kg. Valid electrically but not selected in the shared 24 V architecture.</t>
        </is>
      </c>
      <c r="O144" s="3" t="inlineStr">
        <is>
          <t>Reactivate only if the hand load causes unacceptable disturbances on Thor's 24 V rail during measured tests.</t>
        </is>
      </c>
      <c r="P144" s="4" t="inlineStr">
        <is>
          <t>Battery</t>
        </is>
      </c>
      <c r="Q144" s="4" t="inlineStr">
        <is>
          <t>https://www.digikey.com/en/products/detail/mean-well-usa-inc/RSD-300C-24/7706243</t>
        </is>
      </c>
      <c r="R144" s="4" t="inlineStr">
        <is>
          <t>Reference</t>
        </is>
      </c>
      <c r="S144" s="4" t="n"/>
      <c r="T144" s="4" t="n"/>
    </row>
    <row r="145" ht="20" customHeight="1">
      <c r="A145" s="2" t="inlineStr">
        <is>
          <t>5 - CONTROL, CAN AND WIRING</t>
        </is>
      </c>
    </row>
    <row r="146">
      <c r="A146" s="7" t="inlineStr">
        <is>
          <t>RobStride USB-to-CAN Adapter Type-C (official debug tool)</t>
        </is>
      </c>
      <c r="B146" s="8" t="inlineStr">
        <is>
          <t>Seeed</t>
        </is>
      </c>
      <c r="C146" s="9" t="n">
        <v>15</v>
      </c>
      <c r="D146" s="10" t="n">
        <v>0.22</v>
      </c>
      <c r="E146" s="9">
        <f>C146*D146</f>
        <v/>
      </c>
      <c r="F146" s="8" t="n">
        <v>1</v>
      </c>
      <c r="G146" s="9">
        <f>(C146+E146)*F146</f>
        <v/>
      </c>
      <c r="H146" s="8" t="n"/>
      <c r="I146" s="8" t="n"/>
      <c r="J146" s="8" t="n"/>
      <c r="K146" s="8" t="n"/>
      <c r="L146" s="8" t="n"/>
      <c r="M146" s="8" t="n"/>
      <c r="N146" s="7" t="inlineStr">
        <is>
          <t>Bench tool for RobStride ID setup, zeroing, test and firmware update from a PC.</t>
        </is>
      </c>
      <c r="O146" s="7" t="inlineStr">
        <is>
          <t>Not the realtime robot controller.</t>
        </is>
      </c>
      <c r="P146" s="8" t="inlineStr">
        <is>
          <t>Control/CAN</t>
        </is>
      </c>
      <c r="Q146" s="11" t="inlineStr">
        <is>
          <t>https://www.seeedstudio.com/Robostride-CAN-USB-Driver-Board-p-6708.html</t>
        </is>
      </c>
      <c r="R146" s="8" t="inlineStr">
        <is>
          <t>Phase 1</t>
        </is>
      </c>
      <c r="S146" s="8" t="n"/>
      <c r="T146" s="8" t="n"/>
    </row>
    <row r="147">
      <c r="A147" s="7" t="inlineStr">
        <is>
          <t>Waveshare USB TO 2CH RS485 isolated adapter for RH56DFX hands</t>
        </is>
      </c>
      <c r="B147" s="8" t="inlineStr">
        <is>
          <t>Waveshare</t>
        </is>
      </c>
      <c r="C147" s="9" t="n">
        <v>15.74</v>
      </c>
      <c r="D147" s="10" t="n">
        <v>0.22</v>
      </c>
      <c r="E147" s="9">
        <f>C147*D147</f>
        <v/>
      </c>
      <c r="F147" s="8" t="n">
        <v>1</v>
      </c>
      <c r="G147" s="9">
        <f>(C147+E147)*F147</f>
        <v/>
      </c>
      <c r="H147" s="8" t="n"/>
      <c r="I147" s="8" t="n"/>
      <c r="J147" s="8" t="n"/>
      <c r="K147" s="8" t="n"/>
      <c r="L147" s="8" t="n"/>
      <c r="M147" s="8" t="n"/>
      <c r="N147" s="7" t="inlineStr">
        <is>
          <t>Two independent isolated USB-to-RS485 channels, one per hand, based on FT2232HL. Linux-compatible interface between Thor and the two RH56DFX hand buses. Board size 81.9 x 54 x 32 mm.</t>
        </is>
      </c>
      <c r="O147" s="7" t="inlineStr">
        <is>
          <t>Exact Waveshare SKU 27646. Keep left and right hands on separate channels during bring-up. RH56 defaults (manuals in hands/): RS485 115200 bps 8N1, register protocol with 0xEB 0x90 framing or MODBUS RTU, one HAND_ID per hand (assign left=1, right=2). Verify termination, grounding and protocol behavior before integrating the manipulation controller.</t>
        </is>
      </c>
      <c r="P147" s="8" t="inlineStr">
        <is>
          <t>Control/CAN</t>
        </is>
      </c>
      <c r="Q147" s="11" t="inlineStr">
        <is>
          <t>https://www.waveshare.com/product/usb-to-2ch-rs485.htm</t>
        </is>
      </c>
      <c r="R147" s="8" t="inlineStr">
        <is>
          <t>Phase 1</t>
        </is>
      </c>
      <c r="S147" s="12" t="n">
        <v>0.05</v>
      </c>
      <c r="T147" s="8" t="n"/>
    </row>
    <row r="148">
      <c r="A148" s="7" t="inlineStr">
        <is>
          <t>Waveshare USB3.2-Gen1-HUB-4U powered industrial 4-port USB 3.2 hub</t>
        </is>
      </c>
      <c r="B148" s="8" t="inlineStr">
        <is>
          <t>Waveshare / distributors</t>
        </is>
      </c>
      <c r="C148" s="9" t="n">
        <v>15.74</v>
      </c>
      <c r="D148" s="10" t="n">
        <v>0.22</v>
      </c>
      <c r="E148" s="9">
        <f>C148*D148</f>
        <v/>
      </c>
      <c r="F148" s="8" t="n">
        <v>1</v>
      </c>
      <c r="G148" s="9">
        <f>(C148+E148)*F148</f>
        <v/>
      </c>
      <c r="H148" s="8" t="n"/>
      <c r="I148" s="8" t="n"/>
      <c r="J148" s="8" t="n"/>
      <c r="K148" s="8" t="n"/>
      <c r="L148" s="8" t="n"/>
      <c r="M148" s="8" t="n"/>
      <c r="N148" s="7" t="inlineStr">
        <is>
          <t>Compact powered hub for exactly three MKS CANable Pro interfaces plus the pelvis IMU. Input 7-36 VDC from the dedicated fused 24 V branch; four USB-A downstream ports and one USB-A upstream lead. Metal enclosure 86.0 x 47.8 x 27.6 mm; CAD mass budget 0.150 kg because the manufacturer does not publish mass.</t>
        </is>
      </c>
      <c r="O148" s="7" t="inlineStr">
        <is>
          <t>Exact Waveshare SKU 27837 / USB3.2-Gen1-HUB-4U, USD 17.99 checked 2026-07-12. Up to 5 A total at 5 V across four ports, Linux driver-free. D436 uses one Thor USB-A directly; this hub uses the second USB-A; the dual-RS485 adapter uses a native Thor USB-C port through the exact LINDY cable below.</t>
        </is>
      </c>
      <c r="P148" s="8" t="inlineStr">
        <is>
          <t>Control/CAN</t>
        </is>
      </c>
      <c r="Q148" s="11" t="inlineStr">
        <is>
          <t>https://www.waveshare.com/usb3.2-gen1-hub-4u.htm</t>
        </is>
      </c>
      <c r="R148" s="8" t="inlineStr">
        <is>
          <t>Phase 2</t>
        </is>
      </c>
      <c r="S148" s="12" t="n">
        <v>0.15</v>
      </c>
      <c r="T148" s="8" t="n"/>
    </row>
    <row r="149">
      <c r="A149" s="7" t="inlineStr">
        <is>
          <t>LINDY 36940 USB 2.0 Type-C to Type-B cable, 0.5 m, for dual RS485 adapter</t>
        </is>
      </c>
      <c r="B149" s="8" t="inlineStr">
        <is>
          <t>Conrad / Reichelt / LINDY</t>
        </is>
      </c>
      <c r="C149" s="9" t="n">
        <v>4.79</v>
      </c>
      <c r="D149" s="10" t="n">
        <v>0.22</v>
      </c>
      <c r="E149" s="9">
        <f>C149*D149</f>
        <v/>
      </c>
      <c r="F149" s="8" t="n">
        <v>1</v>
      </c>
      <c r="G149" s="9">
        <f>(C149+E149)*F149</f>
        <v/>
      </c>
      <c r="H149" s="8" t="n"/>
      <c r="I149" s="8" t="n"/>
      <c r="J149" s="8" t="n"/>
      <c r="K149" s="8" t="n"/>
      <c r="L149" s="8" t="n"/>
      <c r="M149" s="8" t="n"/>
      <c r="N149" s="7" t="inlineStr">
        <is>
          <t>Direct data cable from one host-capable Thor USB-C port to the USB-B input of the Waveshare USB TO 2CH RS485 hand adapter. USB 2.0 is sufficient for the two RS485 channels; 0.5 m avoids a long cable coil inside the torso.</t>
        </is>
      </c>
      <c r="O149" s="7" t="inlineStr">
        <is>
          <t>Exact LINDY SKU 36940, USB-C male to USB-B male, 0.5 m. This direct connection is what allows the compact four-port hub to serve only the three CAN adapters and the pelvis IMU.</t>
        </is>
      </c>
      <c r="P149" s="8" t="inlineStr">
        <is>
          <t>Wiring</t>
        </is>
      </c>
      <c r="Q149" s="11" t="inlineStr">
        <is>
          <t>https://www.conrad.it/it/p/lindy-cavo-usb-usb-2-0-spina-usb-c-spina-usb-b-0-50-m-nero-36940-2842258.html</t>
        </is>
      </c>
      <c r="R149" s="8" t="inlineStr">
        <is>
          <t>Phase 1</t>
        </is>
      </c>
      <c r="S149" s="8" t="n"/>
      <c r="T149" s="8" t="n"/>
    </row>
    <row r="150" hidden="1">
      <c r="A150" s="3" t="inlineStr">
        <is>
          <t>[OPZIONE qty0] Computer low-level realtime separato per locomozione</t>
        </is>
      </c>
      <c r="B150" s="4" t="inlineStr">
        <is>
          <t>da selezionare</t>
        </is>
      </c>
      <c r="C150" s="5" t="n">
        <v>0</v>
      </c>
      <c r="D150" s="6" t="n">
        <v>0.22</v>
      </c>
      <c r="E150" s="5">
        <f>C150*D150</f>
        <v/>
      </c>
      <c r="F150" s="4" t="n">
        <v>0</v>
      </c>
      <c r="G150" s="5">
        <f>(C150+E150)*F150</f>
        <v/>
      </c>
      <c r="H150" s="4" t="n"/>
      <c r="I150" s="4" t="n"/>
      <c r="J150" s="4" t="n"/>
      <c r="K150" s="4" t="n"/>
      <c r="L150" s="4" t="n"/>
      <c r="M150" s="4" t="n"/>
      <c r="N150" s="3" t="inlineStr">
        <is>
          <t>Supervisore deterministico tra policy and attuatori: legge IMU and feedback giunti, invia setpoint RobStride sui bus CAN, applica limiti, heartbeat, watchdog and transizione sicura in damping/stop. Non sostituisce i loop interni dei motors.</t>
        </is>
      </c>
      <c r="O150" s="3" t="inlineStr">
        <is>
          <t>Non comprare inizialmente: baseline prototipo Thor-only with processo realtime isolato, SocketCAN diretto and safety hardware indipendente. Valutare controller separato solo se i test mostrano jitter, saturazione/interfacce CAN insufficienti oppure se serve isolamento dai crash del software AI. Non scegliere Raspberry Pi, MCU o SBC prima di aver misurato frequenza loop, latenza and jitter.</t>
        </is>
      </c>
      <c r="P150" s="4" t="inlineStr">
        <is>
          <t>Control/CAN</t>
        </is>
      </c>
      <c r="Q150" s="4" t="inlineStr">
        <is>
          <t>https://docs.nvidia.com/jetson/archives/r38.2/DeveloperGuide/SD/Kernel/RealTimeKernel.html</t>
        </is>
      </c>
      <c r="R150" s="4" t="inlineStr">
        <is>
          <t>Phase 1</t>
        </is>
      </c>
      <c r="S150" s="4" t="n"/>
      <c r="T150" s="4" t="n"/>
    </row>
    <row r="151">
      <c r="A151" s="7" t="inlineStr">
        <is>
          <t>Seeed BCCA4011 - XT30 (2+2) straight/right-angle F-F 300 mm cable for leg RS06 motors</t>
        </is>
      </c>
      <c r="B151" s="8" t="inlineStr">
        <is>
          <t>Seeed</t>
        </is>
      </c>
      <c r="C151" s="9" t="n">
        <v>7.4</v>
      </c>
      <c r="D151" s="10" t="n">
        <v>0.22</v>
      </c>
      <c r="E151" s="9">
        <f>C151*D151</f>
        <v/>
      </c>
      <c r="F151" s="8" t="n">
        <v>4</v>
      </c>
      <c r="G151" s="9">
        <f>(C151+E151)*F151</f>
        <v/>
      </c>
      <c r="H151" s="8" t="n"/>
      <c r="I151" s="8" t="n"/>
      <c r="J151" s="8" t="n"/>
      <c r="K151" s="8" t="n"/>
      <c r="L151" s="8" t="n"/>
      <c r="M151" s="8" t="n"/>
      <c r="N151" s="7" t="inlineStr">
        <is>
          <t>Ready-made power + CAN cable for the four leg RS06 ankle motors. Two XT30 (2+2)-F ends, one straight and one 90-degree, 16 AWG power and 26 AWG signal wires.</t>
        </is>
      </c>
      <c r="O151" s="7" t="inlineStr">
        <is>
          <t>Buy one sample first and validate connector orientation, bend radius and length in CAD.</t>
        </is>
      </c>
      <c r="P151" s="8" t="inlineStr">
        <is>
          <t>Wiring</t>
        </is>
      </c>
      <c r="Q151" s="11" t="inlineStr">
        <is>
          <t>https://www.seeedstudio.com/Power-Cable-XT30-2-2-Female-to-XT30-2-2-Female-300mm-p-6819.html</t>
        </is>
      </c>
      <c r="R151" s="8" t="inlineStr">
        <is>
          <t>Phase 2</t>
        </is>
      </c>
      <c r="S151" s="12" t="n">
        <v>0.14</v>
      </c>
      <c r="T151" s="8" t="n"/>
    </row>
    <row r="152">
      <c r="A152" s="7" t="inlineStr">
        <is>
          <t>Seeed BCCA4011 - XT30 (2+2) straight/right-angle F-F 300 mm cable for upper-body RS00/RS05/RS06 - RIGHT arm</t>
        </is>
      </c>
      <c r="B152" s="8" t="inlineStr">
        <is>
          <t>Seeed</t>
        </is>
      </c>
      <c r="C152" s="9" t="n">
        <v>7.4</v>
      </c>
      <c r="D152" s="10" t="n">
        <v>0.22</v>
      </c>
      <c r="E152" s="9">
        <f>C152*D152</f>
        <v/>
      </c>
      <c r="F152" s="8" t="n">
        <v>8</v>
      </c>
      <c r="G152" s="9">
        <f>(C152+E152)*F152</f>
        <v/>
      </c>
      <c r="H152" s="8" t="n"/>
      <c r="I152" s="8" t="n"/>
      <c r="J152" s="8" t="n"/>
      <c r="K152" s="8" t="n"/>
      <c r="L152" s="8" t="n"/>
      <c r="M152" s="8" t="n"/>
      <c r="N152" s="7" t="inlineStr">
        <is>
          <t>Ready-made power + CAN cable for the 17 integrated upper-body and neck actuators: RS06 x7, RS00 x8, RS05 x2.</t>
        </is>
      </c>
      <c r="O152" s="7" t="inlineStr">
        <is>
          <t>Quantity matches the balanced configuration. Longer runs need custom extensions with strain relief.</t>
        </is>
      </c>
      <c r="P152" s="8" t="inlineStr">
        <is>
          <t>Wiring</t>
        </is>
      </c>
      <c r="Q152" s="11" t="inlineStr">
        <is>
          <t>https://www.seeedstudio.com/Power-Cable-XT30-2-2-Female-to-XT30-2-2-Female-300mm-p-6819.html</t>
        </is>
      </c>
      <c r="R152" s="8" t="inlineStr">
        <is>
          <t>Phase 1</t>
        </is>
      </c>
      <c r="S152" s="12" t="n">
        <v>0.28</v>
      </c>
      <c r="T152" s="8" t="n"/>
    </row>
    <row r="153">
      <c r="A153" s="7" t="inlineStr">
        <is>
          <t>Seeed BCCA4011 - XT30 (2+2) straight/right-angle F-F 300 mm cable for upper-body RS00/RS05/RS06 - left arm + waist/neck</t>
        </is>
      </c>
      <c r="B153" s="8" t="inlineStr">
        <is>
          <t>Seeed</t>
        </is>
      </c>
      <c r="C153" s="9" t="n">
        <v>7.4</v>
      </c>
      <c r="D153" s="10" t="n">
        <v>0.22</v>
      </c>
      <c r="E153" s="9">
        <f>C153*D153</f>
        <v/>
      </c>
      <c r="F153" s="8" t="n">
        <v>9</v>
      </c>
      <c r="G153" s="9">
        <f>(C153+E153)*F153</f>
        <v/>
      </c>
      <c r="H153" s="8" t="n"/>
      <c r="I153" s="8" t="n"/>
      <c r="J153" s="8" t="n"/>
      <c r="K153" s="8" t="n"/>
      <c r="L153" s="8" t="n"/>
      <c r="M153" s="8" t="n"/>
      <c r="N153" s="7" t="inlineStr">
        <is>
          <t>Ready-made power + CAN cable for the 17 integrated upper-body and neck actuators: RS06 x7, RS00 x8, RS05 x2.</t>
        </is>
      </c>
      <c r="O153" s="7" t="inlineStr">
        <is>
          <t>Quantity matches the balanced configuration. Longer runs need custom extensions with strain relief.</t>
        </is>
      </c>
      <c r="P153" s="8" t="inlineStr">
        <is>
          <t>Wiring</t>
        </is>
      </c>
      <c r="Q153" s="11" t="inlineStr">
        <is>
          <t>https://www.seeedstudio.com/Power-Cable-XT30-2-2-Female-to-XT30-2-2-Female-300mm-p-6819.html</t>
        </is>
      </c>
      <c r="R153" s="8" t="inlineStr">
        <is>
          <t>Phase 3</t>
        </is>
      </c>
      <c r="S153" s="12" t="n">
        <v>0.315</v>
      </c>
      <c r="T153" s="8" t="n"/>
    </row>
    <row r="154">
      <c r="A154" s="7" t="inlineStr">
        <is>
          <t>AMASS XT30UW-F.G.Y - power-line connector for RS03/RS04</t>
        </is>
      </c>
      <c r="B154" s="8" t="inlineStr">
        <is>
          <t>LCSC</t>
        </is>
      </c>
      <c r="C154" s="9" t="n">
        <v>0.26</v>
      </c>
      <c r="D154" s="10" t="n">
        <v>0.22</v>
      </c>
      <c r="E154" s="9">
        <f>C154*D154</f>
        <v/>
      </c>
      <c r="F154" s="8" t="n">
        <v>10</v>
      </c>
      <c r="G154" s="9">
        <f>(C154+E154)*F154</f>
        <v/>
      </c>
      <c r="H154" s="8" t="n"/>
      <c r="I154" s="8" t="n"/>
      <c r="J154" s="8" t="n"/>
      <c r="K154" s="8" t="n"/>
      <c r="L154" s="8" t="n"/>
      <c r="M154" s="8" t="n"/>
      <c r="N154" s="7" t="inlineStr">
        <is>
          <t>Cable-side XT30 female connector for the nine selected RS03/RS04 motors: RS04 x6, RS03 hip yaw x2, RS03 waist roll x1. Qty 10 includes one spare.</t>
        </is>
      </c>
      <c r="O154" s="7" t="inlineStr">
        <is>
          <t>The RS04 manual specifies XT30UW-F on the line side.</t>
        </is>
      </c>
      <c r="P154" s="8" t="inlineStr">
        <is>
          <t>Wiring</t>
        </is>
      </c>
      <c r="Q154" s="11" t="inlineStr">
        <is>
          <t>https://www.lcsc.com/product-detail/C19268025.html</t>
        </is>
      </c>
      <c r="R154" s="8" t="inlineStr">
        <is>
          <t>Phase 2</t>
        </is>
      </c>
      <c r="S154" s="12" t="n">
        <v>0.01</v>
      </c>
      <c r="T154" s="8" t="n"/>
    </row>
    <row r="155">
      <c r="A155" s="7" t="inlineStr">
        <is>
          <t>JST GHR-02V-S - GH 1.25 mm 2-pin CAN housing for RS03/RS04</t>
        </is>
      </c>
      <c r="B155" s="8" t="inlineStr">
        <is>
          <t>Conrad / DigiKey</t>
        </is>
      </c>
      <c r="C155" s="9" t="n">
        <v>0.05</v>
      </c>
      <c r="D155" s="10" t="n">
        <v>0.22</v>
      </c>
      <c r="E155" s="9">
        <f>C155*D155</f>
        <v/>
      </c>
      <c r="F155" s="8" t="n">
        <v>10</v>
      </c>
      <c r="G155" s="9">
        <f>(C155+E155)*F155</f>
        <v/>
      </c>
      <c r="H155" s="8" t="n"/>
      <c r="I155" s="8" t="n"/>
      <c r="J155" s="8" t="n"/>
      <c r="K155" s="8" t="n"/>
      <c r="L155" s="8" t="n"/>
      <c r="M155" s="8" t="n"/>
      <c r="N155" s="7" t="inlineStr">
        <is>
          <t>Cable-side housing for CAN_H and CAN_L on the nine selected RS03/RS04 motors. Qty 10 includes one spare.</t>
        </is>
      </c>
      <c r="O155" s="7" t="inlineStr">
        <is>
          <t>Use with two JST MINI-SSHL-002T-P0.2 crimp contacts per connector. Buy samples first and verify mating with the actual motor.</t>
        </is>
      </c>
      <c r="P155" s="8" t="inlineStr">
        <is>
          <t>Wiring</t>
        </is>
      </c>
      <c r="Q155" s="11" t="inlineStr">
        <is>
          <t>https://www.conrad.com/en/p/jst-socket-housing-cable-gh-total-number-of-pins-2-contact-spacing-1-25-mm-ghr-02v-s-1-pc-s-1426140.html</t>
        </is>
      </c>
      <c r="R155" s="8" t="inlineStr">
        <is>
          <t>Phase 2</t>
        </is>
      </c>
      <c r="S155" s="12" t="n">
        <v>0.01</v>
      </c>
      <c r="T155" s="8" t="n"/>
    </row>
    <row r="156">
      <c r="A156" s="7" t="inlineStr">
        <is>
          <t>JST MINI-SSHL-002T-P0.2 - crimp contact for GHR-02V-S housing</t>
        </is>
      </c>
      <c r="B156" s="8" t="inlineStr">
        <is>
          <t>DigiKey</t>
        </is>
      </c>
      <c r="C156" s="9" t="n">
        <v>0.21</v>
      </c>
      <c r="D156" s="10" t="n">
        <v>0.22</v>
      </c>
      <c r="E156" s="9">
        <f>C156*D156</f>
        <v/>
      </c>
      <c r="F156" s="8" t="n">
        <v>20</v>
      </c>
      <c r="G156" s="9">
        <f>(C156+E156)*F156</f>
        <v/>
      </c>
      <c r="H156" s="8" t="n"/>
      <c r="I156" s="8" t="n"/>
      <c r="J156" s="8" t="n"/>
      <c r="K156" s="8" t="n"/>
      <c r="L156" s="8" t="n"/>
      <c r="M156" s="8" t="n"/>
      <c r="N156" s="7" t="inlineStr">
        <is>
          <t>Female crimp terminal for CAN_H/CAN_L wires inserted into the JST GH housing.</t>
        </is>
      </c>
      <c r="O156" s="7" t="inlineStr">
        <is>
          <t>Include spares for crimp trials.</t>
        </is>
      </c>
      <c r="P156" s="8" t="inlineStr">
        <is>
          <t>Wiring</t>
        </is>
      </c>
      <c r="Q156" s="11" t="inlineStr">
        <is>
          <t>https://www.digikey.com/en/products/detail/jst-sales-america-inc/MINI-SSHL-002T-P0-2/807861</t>
        </is>
      </c>
      <c r="R156" s="8" t="inlineStr">
        <is>
          <t>Phase 2</t>
        </is>
      </c>
      <c r="S156" s="12" t="n">
        <v>0.02</v>
      </c>
      <c r="T156" s="8" t="n"/>
    </row>
    <row r="157">
      <c r="A157" s="7" t="inlineStr">
        <is>
          <t>Belden 9841NH - shielded 120 ohm CAN pair, LSZH, sold per metre (order 50 m)</t>
        </is>
      </c>
      <c r="B157" s="8" t="inlineStr">
        <is>
          <t>Farnell Italia</t>
        </is>
      </c>
      <c r="C157" s="9" t="n">
        <v>425</v>
      </c>
      <c r="D157" s="10" t="n">
        <v>0.22</v>
      </c>
      <c r="E157" s="9">
        <f>C157*D157</f>
        <v/>
      </c>
      <c r="F157" s="8" t="n">
        <v>1</v>
      </c>
      <c r="G157" s="9">
        <f>(C157+E157)*F157</f>
        <v/>
      </c>
      <c r="H157" s="8" t="n"/>
      <c r="I157" s="8" t="n"/>
      <c r="J157" s="8" t="n"/>
      <c r="K157" s="8" t="n"/>
      <c r="L157" s="8" t="n"/>
      <c r="M157" s="8" t="n"/>
      <c r="N157" s="7" t="inlineStr">
        <is>
          <t>Shielded CAN data cable to cut for custom harnesses. The twisted pair carries CAN_H and CAN_L; topology should remain bus-like with short stubs.</t>
        </is>
      </c>
      <c r="O157" s="7" t="inlineStr">
        <is>
          <t>50 m spool gives margin for prototypes and harness rebuilds. [2026-07-19 (user find): moved to Farnell 1891187 - Belden 9841NH is the halogen-free LSZH version of the 9841 (RS-485 1 pair), sold PER METRE: order 50 m. The cost here is still the old Rapid 50 m spool price - verify the Farnell per-metre total at order (likely lower) and confirm 120 ohm + shield from the 9841NH datasheet. Previous source: Rapid Electronics spool.]</t>
        </is>
      </c>
      <c r="P157" s="8" t="inlineStr">
        <is>
          <t>Control/CAN</t>
        </is>
      </c>
      <c r="Q157" s="11" t="inlineStr">
        <is>
          <t>https://it.farnell.com/belden/9841nh/cable-rs-485-1-pair-lszh-per-m/dp/1891187</t>
        </is>
      </c>
      <c r="R157" s="8" t="inlineStr">
        <is>
          <t>Phase 2</t>
        </is>
      </c>
      <c r="S157" s="8" t="n"/>
      <c r="T157" s="8" t="n"/>
    </row>
    <row r="158">
      <c r="A158" s="7" t="inlineStr">
        <is>
          <t>YAGEO MFR-25FBF52-120R - CAN termination resistor, 120 ohm, 1%</t>
        </is>
      </c>
      <c r="B158" s="8" t="inlineStr">
        <is>
          <t>Mouser</t>
        </is>
      </c>
      <c r="C158" s="9" t="n">
        <v>0.1</v>
      </c>
      <c r="D158" s="10" t="n">
        <v>0.22</v>
      </c>
      <c r="E158" s="9">
        <f>C158*D158</f>
        <v/>
      </c>
      <c r="F158" s="8" t="n">
        <v>10</v>
      </c>
      <c r="G158" s="9">
        <f>(C158+E158)*F158</f>
        <v/>
      </c>
      <c r="H158" s="8" t="n"/>
      <c r="I158" s="8" t="n"/>
      <c r="J158" s="8" t="n"/>
      <c r="K158" s="8" t="n"/>
      <c r="L158" s="8" t="n"/>
      <c r="M158" s="8" t="n"/>
      <c r="N158" s="7" t="inlineStr">
        <is>
          <t>Termination resistor mounted at the two physical ends of each CAN bus. Do not place one on every motor.</t>
        </is>
      </c>
      <c r="O158" s="7" t="inlineStr">
        <is>
          <t>Qty 10 covers five buses. Fit exactly two per physical bus and verify about 60 ohm across CAN_H/CAN_L with power off.</t>
        </is>
      </c>
      <c r="P158" s="8" t="inlineStr">
        <is>
          <t>Control/CAN</t>
        </is>
      </c>
      <c r="Q158" s="11" t="inlineStr">
        <is>
          <t>https://www.mouser.com/ProductDetail/YAGEO/MFR-25FBF52-120R?qs=oAGoVhmvjhwezjKtxD8soA%3D%3D</t>
        </is>
      </c>
      <c r="R158" s="8" t="inlineStr">
        <is>
          <t>Phase 1</t>
        </is>
      </c>
      <c r="S158" s="8" t="n"/>
      <c r="T158" s="8" t="n"/>
    </row>
    <row r="159" hidden="1">
      <c r="A159" s="3" t="inlineStr">
        <is>
          <t>[TO DESIGN qty0] Harness custom RS03/RS04: XT30UW-F + GH1.25 CAN + strain relief</t>
        </is>
      </c>
      <c r="B159" s="4" t="inlineStr">
        <is>
          <t>custom</t>
        </is>
      </c>
      <c r="C159" s="5" t="n">
        <v>0</v>
      </c>
      <c r="D159" s="6" t="n">
        <v>0.22</v>
      </c>
      <c r="E159" s="5">
        <f>C159*D159</f>
        <v/>
      </c>
      <c r="F159" s="4" t="n">
        <v>0</v>
      </c>
      <c r="G159" s="5">
        <f>(C159+E159)*F159</f>
        <v/>
      </c>
      <c r="H159" s="4" t="n"/>
      <c r="I159" s="4" t="n"/>
      <c r="J159" s="4" t="n"/>
      <c r="K159" s="4" t="n"/>
      <c r="L159" s="4" t="n"/>
      <c r="M159" s="4" t="n"/>
      <c r="N159" s="3" t="inlineStr">
        <is>
          <t>Fascio da costruire dopo il CAD per RS04 gambe, RS03 hip yaw and RS03 waist roll. Usa i connettori acquistabili elencati sopra, cavo potenza dimensionato and doppino CAN.</t>
        </is>
      </c>
      <c r="O159" s="3" t="inlineStr">
        <is>
          <t>Non esiste un link a un harness completo RobStride per questo umanoide. Il manuale RS04 definisce i terminali lato cavo; K-Scale conferma che il wiring richiede progettazione and strain relief. Per i microcontatti JST GH commissionare preferibilmente crimpatura and collaudo a un cablatore: la pinza ufficiale JST YRS-1590 and elencata come opzione qty 0 ma costa molto. Questa riga resta qty 0 per evitare un costo fittizio.</t>
        </is>
      </c>
      <c r="P159" s="4" t="inlineStr">
        <is>
          <t>Wiring</t>
        </is>
      </c>
      <c r="Q159" s="4" t="inlineStr">
        <is>
          <t>https://www.robstride.com/assets/product_manual_robStride04-37549d59.pdf</t>
        </is>
      </c>
      <c r="R159" s="4" t="inlineStr">
        <is>
          <t>Phase 1</t>
        </is>
      </c>
      <c r="S159" s="4" t="n"/>
      <c r="T159" s="4" t="n"/>
    </row>
    <row r="160" hidden="1">
      <c r="A160" s="3" t="inlineStr">
        <is>
          <t>[TO DESIGN qty0] Wiring Thor J47 -&gt; CANH/CANL per 2 bus nativi</t>
        </is>
      </c>
      <c r="B160" s="4" t="inlineStr">
        <is>
          <t>custom</t>
        </is>
      </c>
      <c r="C160" s="5" t="n">
        <v>0</v>
      </c>
      <c r="D160" s="6" t="n">
        <v>0.22</v>
      </c>
      <c r="E160" s="5">
        <f>C160*D160</f>
        <v/>
      </c>
      <c r="F160" s="4" t="n">
        <v>0</v>
      </c>
      <c r="G160" s="5">
        <f>(C160+E160)*F160</f>
        <v/>
      </c>
      <c r="H160" s="4" t="n"/>
      <c r="I160" s="4" t="n"/>
      <c r="J160" s="4" t="n"/>
      <c r="K160" s="4" t="n"/>
      <c r="L160" s="4" t="n"/>
      <c r="M160" s="4" t="n"/>
      <c r="N160" s="3" t="inlineStr">
        <is>
          <t>Wiring dal connettore J47 del dev kit Thor ai due bus delle gambe. Il dev kit espone fisicamente CANH and CANL: non serve uno SN65HVD230 esterno.</t>
        </is>
      </c>
      <c r="O160" s="3" t="inlineStr">
        <is>
          <t>Il mating connector and il pinout del wiring vanno verificati sulla documentazione Thor and sul kit fisico prima dell'acquisto. Riga qty 0: non inventare uno SKU.</t>
        </is>
      </c>
      <c r="P160" s="4" t="inlineStr">
        <is>
          <t>Control/CAN</t>
        </is>
      </c>
      <c r="Q160" s="4" t="inlineStr">
        <is>
          <t>https://docs.nvidia.com/jetson/archives/r38.2.1/DeveloperGuide/HR/ControllerAreaNetworkCan.html</t>
        </is>
      </c>
      <c r="R160" s="4" t="inlineStr">
        <is>
          <t>Phase 1</t>
        </is>
      </c>
      <c r="S160" s="4" t="n"/>
      <c r="T160" s="4" t="n"/>
    </row>
    <row r="161">
      <c r="A161" s="7" t="inlineStr">
        <is>
          <t>Makerbase MKS CANable Pro CANable-MKS 1.0 (STM32F072) isolated USB-CAN adapter - right arm bus</t>
        </is>
      </c>
      <c r="B161" s="8" t="inlineStr">
        <is>
          <t>OpenELAB Germany</t>
        </is>
      </c>
      <c r="C161" s="9" t="n">
        <v>15.95</v>
      </c>
      <c r="D161" s="10" t="n">
        <v>0.22</v>
      </c>
      <c r="E161" s="9">
        <f>C161*D161</f>
        <v/>
      </c>
      <c r="F161" s="8" t="n">
        <v>1</v>
      </c>
      <c r="G161" s="9">
        <f>(C161+E161)*F161</f>
        <v/>
      </c>
      <c r="H161" s="8" t="n"/>
      <c r="I161" s="8" t="n"/>
      <c r="J161" s="8" t="n"/>
      <c r="K161" s="8" t="n"/>
      <c r="L161" s="8" t="n"/>
      <c r="M161" s="8" t="n"/>
      <c r="N161" s="7" t="inlineStr">
        <is>
          <t>Three isolated USB-CAN interfaces supplement Thor's two native CAN controllers, giving five physical 1 Mbps buses. Use the STM32F072 CANable-MKS 1.0-compatible isolated model with candleLight/gs_usb and SocketCAN; do not silently substitute the STM32G431 MKS V2.0 because upstream candleLight firmware does not support it.</t>
        </is>
      </c>
      <c r="O161" s="7" t="inlineStr">
        <is>
          <t>Selected mapping at 250 Hz target refresh: native CAN0 left leg (6 motors), native CAN1 right leg (6), USB left arm (7), USB right arm (7), USB waist+neck (4). Conservative extended-frame command+feedback load is about 45-53% per busy bus. Keep RobStride active reporting disabled when each command already returns feedback. PCB reserve about 52 x 16 x 8 mm each plus USB/CAN connector bend space.</t>
        </is>
      </c>
      <c r="P161" s="8" t="inlineStr">
        <is>
          <t>Control/CAN</t>
        </is>
      </c>
      <c r="Q161" s="11" t="inlineStr">
        <is>
          <t>https://openelab.de/products/mks-canable-pro-chip</t>
        </is>
      </c>
      <c r="R161" s="8" t="inlineStr">
        <is>
          <t>Phase 1</t>
        </is>
      </c>
      <c r="S161" s="12" t="n">
        <v>0.03</v>
      </c>
      <c r="T161" s="8" t="n"/>
    </row>
    <row r="162">
      <c r="A162" s="7" t="inlineStr">
        <is>
          <t>Makerbase MKS CANable Pro CANable-MKS 1.0 (STM32F072) isolated USB-CAN adapter - left arm + waist/neck buses</t>
        </is>
      </c>
      <c r="B162" s="8" t="inlineStr">
        <is>
          <t>OpenELAB Germany</t>
        </is>
      </c>
      <c r="C162" s="9" t="n">
        <v>15.95</v>
      </c>
      <c r="D162" s="10" t="n">
        <v>0.22</v>
      </c>
      <c r="E162" s="9">
        <f>C162*D162</f>
        <v/>
      </c>
      <c r="F162" s="8" t="n">
        <v>2</v>
      </c>
      <c r="G162" s="9">
        <f>(C162+E162)*F162</f>
        <v/>
      </c>
      <c r="H162" s="8" t="n"/>
      <c r="I162" s="8" t="n"/>
      <c r="J162" s="8" t="n"/>
      <c r="K162" s="8" t="n"/>
      <c r="L162" s="8" t="n"/>
      <c r="M162" s="8" t="n"/>
      <c r="N162" s="7" t="inlineStr">
        <is>
          <t>Three isolated USB-CAN interfaces supplement Thor's two native CAN controllers, giving five physical 1 Mbps buses. Use the STM32F072 CANable-MKS 1.0-compatible isolated model with candleLight/gs_usb and SocketCAN; do not silently substitute the STM32G431 MKS V2.0 because upstream candleLight firmware does not support it.</t>
        </is>
      </c>
      <c r="O162" s="7" t="inlineStr">
        <is>
          <t>Selected mapping at 250 Hz target refresh: native CAN0 left leg (6 motors), native CAN1 right leg (6), USB left arm (7), USB right arm (7), USB waist+neck (4). Conservative extended-frame command+feedback load is about 45-53% per busy bus. Keep RobStride active reporting disabled when each command already returns feedback. PCB reserve about 52 x 16 x 8 mm each plus USB/CAN connector bend space.</t>
        </is>
      </c>
      <c r="P162" s="8" t="inlineStr">
        <is>
          <t>Control/CAN</t>
        </is>
      </c>
      <c r="Q162" s="11" t="inlineStr">
        <is>
          <t>https://openelab.de/products/mks-canable-pro-chip</t>
        </is>
      </c>
      <c r="R162" s="8" t="inlineStr">
        <is>
          <t>Phase 3</t>
        </is>
      </c>
      <c r="S162" s="12" t="n">
        <v>0.06</v>
      </c>
      <c r="T162" s="8" t="n"/>
    </row>
    <row r="163">
      <c r="A163" s="7" t="inlineStr">
        <is>
          <t>Nautica Illiano CABATR25 - red super-flexible battery cable, 25 mm2</t>
        </is>
      </c>
      <c r="B163" s="8" t="inlineStr">
        <is>
          <t>Nautica Illiano</t>
        </is>
      </c>
      <c r="C163" s="9" t="n">
        <v>7.6</v>
      </c>
      <c r="D163" s="10" t="n">
        <v>0.22</v>
      </c>
      <c r="E163" s="9">
        <f>C163*D163</f>
        <v/>
      </c>
      <c r="F163" s="8" t="n">
        <v>2</v>
      </c>
      <c r="G163" s="9">
        <f>(C163+E163)*F163</f>
        <v/>
      </c>
      <c r="H163" s="8" t="n"/>
      <c r="I163" s="8" t="n"/>
      <c r="J163" s="8" t="n"/>
      <c r="K163" s="8" t="n"/>
      <c r="L163" s="8" t="n"/>
      <c r="M163" s="8" t="n"/>
      <c r="N163" s="7" t="inlineStr">
        <is>
          <t>Two meters of main positive cable for battery, main fuse, LEV100 contactor, compact power carrier and downstream distribution block.</t>
        </is>
      </c>
      <c r="O163" s="7" t="inlineStr">
        <is>
          <t>Initial purchase includes margin; shorten after electrical-panel layout. [Checked 2026-07-19: big-store equivalents exist (e.g. RS: Lapp H01N2-D 760-strand super-flex) but only as 50-100 m reels; the per-metre specialist source is kept deliberately per the supplier policy.]</t>
        </is>
      </c>
      <c r="P163" s="8" t="inlineStr">
        <is>
          <t>Wiring</t>
        </is>
      </c>
      <c r="Q163" s="11" t="inlineStr">
        <is>
          <t>https://www.nauticailliano.it/en/product/super-flexible-single-core-flame-retardant-electrical-cable-for-batteries_CABAT.html</t>
        </is>
      </c>
      <c r="R163" s="8" t="inlineStr">
        <is>
          <t>Phase 1</t>
        </is>
      </c>
      <c r="S163" s="12" t="n">
        <v>0.58</v>
      </c>
      <c r="T163" s="8" t="n"/>
    </row>
    <row r="164">
      <c r="A164" s="7" t="inlineStr">
        <is>
          <t>Nautica Illiano CABATN25 - black super-flexible battery cable, 25 mm2</t>
        </is>
      </c>
      <c r="B164" s="8" t="inlineStr">
        <is>
          <t>Nautica Illiano</t>
        </is>
      </c>
      <c r="C164" s="9" t="n">
        <v>7.3</v>
      </c>
      <c r="D164" s="10" t="n">
        <v>0.22</v>
      </c>
      <c r="E164" s="9">
        <f>C164*D164</f>
        <v/>
      </c>
      <c r="F164" s="8" t="n">
        <v>2</v>
      </c>
      <c r="G164" s="9">
        <f>(C164+E164)*F164</f>
        <v/>
      </c>
      <c r="H164" s="8" t="n"/>
      <c r="I164" s="8" t="n"/>
      <c r="J164" s="8" t="n"/>
      <c r="K164" s="8" t="n"/>
      <c r="L164" s="8" t="n"/>
      <c r="M164" s="8" t="n"/>
      <c r="N164" s="7" t="inlineStr">
        <is>
          <t>Two meters of main negative cable to cut for source and PDU.</t>
        </is>
      </c>
      <c r="O164" s="7" t="inlineStr">
        <is>
          <t>Initial purchase includes margin; shorten after electrical-panel layout. [Checked 2026-07-19: big-store equivalents exist (e.g. RS: Lapp H01N2-D 760-strand super-flex) but only as 50-100 m reels; the per-metre specialist source is kept deliberately per the supplier policy.]</t>
        </is>
      </c>
      <c r="P164" s="8" t="inlineStr">
        <is>
          <t>Wiring</t>
        </is>
      </c>
      <c r="Q164" s="11" t="inlineStr">
        <is>
          <t>https://www.nauticailliano.it/en/product/super-flexible-single-core-flame-retardant-electrical-cable-for-batteries_CABAT.html</t>
        </is>
      </c>
      <c r="R164" s="8" t="inlineStr">
        <is>
          <t>Phase 1</t>
        </is>
      </c>
      <c r="S164" s="12" t="n">
        <v>0.58</v>
      </c>
      <c r="T164" s="8" t="n"/>
    </row>
    <row r="165">
      <c r="A165" s="7" t="inlineStr">
        <is>
          <t>Nautica Illiano CABATR16 - red super-flexible battery cable, 16 mm2</t>
        </is>
      </c>
      <c r="B165" s="8" t="inlineStr">
        <is>
          <t>Nautica Illiano</t>
        </is>
      </c>
      <c r="C165" s="9" t="n">
        <v>4.55</v>
      </c>
      <c r="D165" s="10" t="n">
        <v>0.22</v>
      </c>
      <c r="E165" s="9">
        <f>C165*D165</f>
        <v/>
      </c>
      <c r="F165" s="8" t="n">
        <v>4</v>
      </c>
      <c r="G165" s="9">
        <f>(C165+E165)*F165</f>
        <v/>
      </c>
      <c r="H165" s="8" t="n"/>
      <c r="I165" s="8" t="n"/>
      <c r="J165" s="8" t="n"/>
      <c r="K165" s="8" t="n"/>
      <c r="L165" s="8" t="n"/>
      <c r="M165" s="8" t="n"/>
      <c r="N165" s="7" t="inlineStr">
        <is>
          <t>Four meters of positive cable for the two leg branches, each protected by a 70 A BF1 fuse.</t>
        </is>
      </c>
      <c r="O165" s="7" t="inlineStr">
        <is>
          <t>Initial purchase includes margin for routing and strain relief. [Checked 2026-07-19: big-store equivalents exist (e.g. RS: Lapp H01N2-D 760-strand super-flex) but only as 50-100 m reels; the per-metre specialist source is kept deliberately per the supplier policy.]</t>
        </is>
      </c>
      <c r="P165" s="8" t="inlineStr">
        <is>
          <t>Wiring</t>
        </is>
      </c>
      <c r="Q165" s="11" t="inlineStr">
        <is>
          <t>https://www.nauticailliano.it/en/product/super-flexible-single-core-flame-retardant-electrical-cable-for-batteries_CABAT.html</t>
        </is>
      </c>
      <c r="R165" s="8" t="inlineStr">
        <is>
          <t>Phase 2</t>
        </is>
      </c>
      <c r="S165" s="12" t="n">
        <v>0.76</v>
      </c>
      <c r="T165" s="8" t="n"/>
    </row>
    <row r="166">
      <c r="A166" s="7" t="inlineStr">
        <is>
          <t>Nautica Illiano CABATN16 - black super-flexible battery cable, 16 mm2</t>
        </is>
      </c>
      <c r="B166" s="8" t="inlineStr">
        <is>
          <t>Nautica Illiano</t>
        </is>
      </c>
      <c r="C166" s="9" t="n">
        <v>4.4</v>
      </c>
      <c r="D166" s="10" t="n">
        <v>0.22</v>
      </c>
      <c r="E166" s="9">
        <f>C166*D166</f>
        <v/>
      </c>
      <c r="F166" s="8" t="n">
        <v>4</v>
      </c>
      <c r="G166" s="9">
        <f>(C166+E166)*F166</f>
        <v/>
      </c>
      <c r="H166" s="8" t="n"/>
      <c r="I166" s="8" t="n"/>
      <c r="J166" s="8" t="n"/>
      <c r="K166" s="8" t="n"/>
      <c r="L166" s="8" t="n"/>
      <c r="M166" s="8" t="n"/>
      <c r="N166" s="7" t="inlineStr">
        <is>
          <t>Four meters of negative cable for the two leg branches.</t>
        </is>
      </c>
      <c r="O166" s="7" t="inlineStr">
        <is>
          <t>Initial purchase includes margin for routing and strain relief. [Checked 2026-07-19: big-store equivalents exist (e.g. RS: Lapp H01N2-D 760-strand super-flex) but only as 50-100 m reels; the per-metre specialist source is kept deliberately per the supplier policy.]</t>
        </is>
      </c>
      <c r="P166" s="8" t="inlineStr">
        <is>
          <t>Wiring</t>
        </is>
      </c>
      <c r="Q166" s="11" t="inlineStr">
        <is>
          <t>https://www.nauticailliano.it/en/product/super-flexible-single-core-flame-retardant-electrical-cable-for-batteries_CABAT.html</t>
        </is>
      </c>
      <c r="R166" s="8" t="inlineStr">
        <is>
          <t>Phase 2</t>
        </is>
      </c>
      <c r="S166" s="12" t="n">
        <v>0.76</v>
      </c>
      <c r="T166" s="8" t="n"/>
    </row>
    <row r="167">
      <c r="A167" s="7" t="inlineStr">
        <is>
          <t>Nautica Illiano CABATR06 - red super-flexible battery cable, 6 mm2</t>
        </is>
      </c>
      <c r="B167" s="8" t="inlineStr">
        <is>
          <t>Nautica Illiano</t>
        </is>
      </c>
      <c r="C167" s="9" t="n">
        <v>1.75</v>
      </c>
      <c r="D167" s="10" t="n">
        <v>0.22</v>
      </c>
      <c r="E167" s="9">
        <f>C167*D167</f>
        <v/>
      </c>
      <c r="F167" s="8" t="n">
        <v>6</v>
      </c>
      <c r="G167" s="9">
        <f>(C167+E167)*F167</f>
        <v/>
      </c>
      <c r="H167" s="8" t="n"/>
      <c r="I167" s="8" t="n"/>
      <c r="J167" s="8" t="n"/>
      <c r="K167" s="8" t="n"/>
      <c r="L167" s="8" t="n"/>
      <c r="M167" s="8" t="n"/>
      <c r="N167" s="7" t="inlineStr">
        <is>
          <t>Six meters of positive cable for waist/neck and the two arms, protected by 40 A and 30 A BF1 fuses.</t>
        </is>
      </c>
      <c r="O167" s="7" t="inlineStr">
        <is>
          <t>Initial purchase includes margin for routing and strain relief. [Checked 2026-07-19: big-store equivalents exist (e.g. RS: Lapp H01N2-D 760-strand super-flex) but only as 50-100 m reels; the per-metre specialist source is kept deliberately per the supplier policy.]</t>
        </is>
      </c>
      <c r="P167" s="8" t="inlineStr">
        <is>
          <t>Wiring</t>
        </is>
      </c>
      <c r="Q167" s="11" t="inlineStr">
        <is>
          <t>https://www.nauticailliano.it/en/product/super-flexible-single-core-flame-retardant-electrical-cable-for-batteries_CABAT.html</t>
        </is>
      </c>
      <c r="R167" s="8" t="inlineStr">
        <is>
          <t>Phase 3</t>
        </is>
      </c>
      <c r="S167" s="12" t="n">
        <v>0.51</v>
      </c>
      <c r="T167" s="8" t="n"/>
    </row>
    <row r="168">
      <c r="A168" s="7" t="inlineStr">
        <is>
          <t>Nautica Illiano CABATN06 - black super-flexible battery cable, 6 mm2</t>
        </is>
      </c>
      <c r="B168" s="8" t="inlineStr">
        <is>
          <t>Nautica Illiano</t>
        </is>
      </c>
      <c r="C168" s="9" t="n">
        <v>1.75</v>
      </c>
      <c r="D168" s="10" t="n">
        <v>0.22</v>
      </c>
      <c r="E168" s="9">
        <f>C168*D168</f>
        <v/>
      </c>
      <c r="F168" s="8" t="n">
        <v>6</v>
      </c>
      <c r="G168" s="9">
        <f>(C168+E168)*F168</f>
        <v/>
      </c>
      <c r="H168" s="8" t="n"/>
      <c r="I168" s="8" t="n"/>
      <c r="J168" s="8" t="n"/>
      <c r="K168" s="8" t="n"/>
      <c r="L168" s="8" t="n"/>
      <c r="M168" s="8" t="n"/>
      <c r="N168" s="7" t="inlineStr">
        <is>
          <t>Six meters of negative cable for waist/neck and the two arms.</t>
        </is>
      </c>
      <c r="O168" s="7" t="inlineStr">
        <is>
          <t>Initial purchase includes margin for routing and strain relief. [Checked 2026-07-19: big-store equivalents exist (e.g. RS: Lapp H01N2-D 760-strand super-flex) but only as 50-100 m reels; the per-metre specialist source is kept deliberately per the supplier policy.]</t>
        </is>
      </c>
      <c r="P168" s="8" t="inlineStr">
        <is>
          <t>Wiring</t>
        </is>
      </c>
      <c r="Q168" s="11" t="inlineStr">
        <is>
          <t>https://www.nauticailliano.it/en/product/super-flexible-single-core-flame-retardant-electrical-cable-for-batteries_CABAT.html</t>
        </is>
      </c>
      <c r="R168" s="8" t="inlineStr">
        <is>
          <t>Phase 3</t>
        </is>
      </c>
      <c r="S168" s="12" t="n">
        <v>0.51</v>
      </c>
      <c r="T168" s="8" t="n"/>
    </row>
    <row r="169">
      <c r="A169" s="7" t="inlineStr">
        <is>
          <t>Klauke 704F5 - tinned copper lug for flexible 25 mm2 cable, M5 hole</t>
        </is>
      </c>
      <c r="B169" s="8" t="inlineStr">
        <is>
          <t>Bürklin</t>
        </is>
      </c>
      <c r="C169" s="9" t="n">
        <v>1.75</v>
      </c>
      <c r="D169" s="10" t="n">
        <v>0.22</v>
      </c>
      <c r="E169" s="9">
        <f>C169*D169</f>
        <v/>
      </c>
      <c r="F169" s="8" t="n">
        <v>8</v>
      </c>
      <c r="G169" s="9">
        <f>(C169+E169)*F169</f>
        <v/>
      </c>
      <c r="H169" s="8" t="n"/>
      <c r="I169" s="8" t="n"/>
      <c r="J169" s="8" t="n"/>
      <c r="K169" s="8" t="n"/>
      <c r="L169" s="8" t="n"/>
      <c r="M169" s="8" t="n"/>
      <c r="N169" s="7" t="inlineStr">
        <is>
          <t>Cable lugs for both sides of the main BF1 fuse holder on the 25 mm2 trunk. Two installed plus two spares.</t>
        </is>
      </c>
      <c r="O169" s="7" t="inlineStr">
        <is>
          <t>Designed for fine and superfine conductors, class 5 and 6. [2026-07-19: same exact Klauke part at Bürklin, order no. 07F1391 (big distributor, user pref.); previous source Heamar.]</t>
        </is>
      </c>
      <c r="P169" s="8" t="inlineStr">
        <is>
          <t>Wiring</t>
        </is>
      </c>
      <c r="Q169" s="11" t="inlineStr">
        <is>
          <t>https://www.buerklin.com/en/p/klauke/cable-lugs/704f5/07F1391/</t>
        </is>
      </c>
      <c r="R169" s="8" t="inlineStr">
        <is>
          <t>Phase 1</t>
        </is>
      </c>
      <c r="S169" s="8" t="n"/>
      <c r="T169" s="8" t="n"/>
    </row>
    <row r="170" hidden="1">
      <c r="A170" s="3" t="inlineStr">
        <is>
          <t>[REMOVED qty0] Klauke 704F10 lug for ED250B-1</t>
        </is>
      </c>
      <c r="B170" s="4" t="inlineStr">
        <is>
          <t>Heamar</t>
        </is>
      </c>
      <c r="C170" s="5" t="n">
        <v>2.1</v>
      </c>
      <c r="D170" s="6" t="n">
        <v>0.22</v>
      </c>
      <c r="E170" s="5">
        <f>C170*D170</f>
        <v/>
      </c>
      <c r="F170" s="4" t="n">
        <v>0</v>
      </c>
      <c r="G170" s="5">
        <f>(C170+E170)*F170</f>
        <v/>
      </c>
      <c r="H170" s="4" t="n"/>
      <c r="I170" s="4" t="n"/>
      <c r="J170" s="4" t="n"/>
      <c r="K170" s="4" t="n"/>
      <c r="L170" s="4" t="n"/>
      <c r="M170" s="4" t="n"/>
      <c r="N170" s="3" t="inlineStr">
        <is>
          <t>Capicorda per i due terminali M10 del sezionatore ED250B-1 sul tronco positivo da 25 mm2. Due pcs installati and due di scorta.</t>
        </is>
      </c>
      <c r="O170" s="3" t="inlineStr">
        <is>
          <t>Exact SKU Klauke 704F10. Progettato per conduttori fini and superfini classe 5 and 6, rame EN13600 stagnato. Price checked 2026-06-02: GBP 1.75 netto each about EUR 2.10.</t>
        </is>
      </c>
      <c r="P170" s="4" t="inlineStr">
        <is>
          <t>Wiring</t>
        </is>
      </c>
      <c r="Q170" s="4" t="inlineStr">
        <is>
          <t>https://www.heamar.co.uk/klauke-704f10-m10-25mm-f-series-copper-tubular-cable-lug.html</t>
        </is>
      </c>
      <c r="R170" s="4" t="inlineStr">
        <is>
          <t>Reference</t>
        </is>
      </c>
      <c r="S170" s="4" t="n"/>
      <c r="T170" s="4" t="n"/>
    </row>
    <row r="171" hidden="1">
      <c r="A171" s="3" t="inlineStr">
        <is>
          <t>[REMOVED qty0] Klauke 704F8 lug for SW80B-10</t>
        </is>
      </c>
      <c r="B171" s="4" t="inlineStr">
        <is>
          <t>Heamar</t>
        </is>
      </c>
      <c r="C171" s="5" t="n">
        <v>2</v>
      </c>
      <c r="D171" s="6" t="n">
        <v>0.22</v>
      </c>
      <c r="E171" s="5">
        <f>C171*D171</f>
        <v/>
      </c>
      <c r="F171" s="4" t="n">
        <v>0</v>
      </c>
      <c r="G171" s="5">
        <f>(C171+E171)*F171</f>
        <v/>
      </c>
      <c r="H171" s="4" t="n"/>
      <c r="I171" s="4" t="n"/>
      <c r="J171" s="4" t="n"/>
      <c r="K171" s="4" t="n"/>
      <c r="L171" s="4" t="n"/>
      <c r="M171" s="4" t="n"/>
      <c r="N171" s="3" t="inlineStr">
        <is>
          <t>Cable lugs for the two M8 main terminals of the selected Albright SW80B-10 contactor. Two installed plus two spares for crimp qualification.</t>
        </is>
      </c>
      <c r="O171" s="3" t="inlineStr">
        <is>
          <t>Exact Klauke 704F8, 25 mm2, M8, for fine/superfine flexible copper conductors. This row replaces the two extra M10 lugs that belonged to the old SW200 contactor.</t>
        </is>
      </c>
      <c r="P171" s="4" t="inlineStr">
        <is>
          <t>Wiring</t>
        </is>
      </c>
      <c r="Q171" s="4" t="inlineStr">
        <is>
          <t>https://www.heamar.co.uk/klauke-704f8-m8-25mm-f-series-copper-tubular-cable-lug.html</t>
        </is>
      </c>
      <c r="R171" s="4" t="inlineStr">
        <is>
          <t>Reference</t>
        </is>
      </c>
      <c r="S171" s="4" t="n"/>
      <c r="T171" s="4" t="n"/>
    </row>
    <row r="172">
      <c r="A172" s="7" t="inlineStr">
        <is>
          <t>Klauke 703F5 - tinned copper lug for flexible 16 mm2 cable, M5 hole</t>
        </is>
      </c>
      <c r="B172" s="8" t="inlineStr">
        <is>
          <t>Bürklin</t>
        </is>
      </c>
      <c r="C172" s="9" t="n">
        <v>0.85</v>
      </c>
      <c r="D172" s="10" t="n">
        <v>0.22</v>
      </c>
      <c r="E172" s="9">
        <f>C172*D172</f>
        <v/>
      </c>
      <c r="F172" s="8" t="n">
        <v>6</v>
      </c>
      <c r="G172" s="9">
        <f>(C172+E172)*F172</f>
        <v/>
      </c>
      <c r="H172" s="8" t="n"/>
      <c r="I172" s="8" t="n"/>
      <c r="J172" s="8" t="n"/>
      <c r="K172" s="8" t="n"/>
      <c r="L172" s="8" t="n"/>
      <c r="M172" s="8" t="n"/>
      <c r="N172" s="7" t="inlineStr">
        <is>
          <t>Cable lugs for the two leg-branch BF1 fuse holders. Four installed plus two spares.</t>
        </is>
      </c>
      <c r="O172" s="7" t="inlineStr">
        <is>
          <t>Use a proper hex crimp, not generic pliers. [2026-07-19: same exact Klauke part at Bürklin, order no. 07F1381 (~EUR 0.84); previous source Rapid Electronics.]</t>
        </is>
      </c>
      <c r="P172" s="8" t="inlineStr">
        <is>
          <t>Wiring</t>
        </is>
      </c>
      <c r="Q172" s="11" t="inlineStr">
        <is>
          <t>https://www.buerklin.com/en/p/klauke/cable-lugs/703f5/07F1381/</t>
        </is>
      </c>
      <c r="R172" s="8" t="inlineStr">
        <is>
          <t>Phase 2</t>
        </is>
      </c>
      <c r="S172" s="8" t="n"/>
      <c r="T172" s="8" t="n"/>
    </row>
    <row r="173">
      <c r="A173" s="7" t="inlineStr">
        <is>
          <t>Klauke 101R5 - DIN tinned copper lug, 6 mm2, M5 hole</t>
        </is>
      </c>
      <c r="B173" s="8" t="inlineStr">
        <is>
          <t>Bürklin</t>
        </is>
      </c>
      <c r="C173" s="9" t="n">
        <v>0.63</v>
      </c>
      <c r="D173" s="10" t="n">
        <v>0.22</v>
      </c>
      <c r="E173" s="9">
        <f>C173*D173</f>
        <v/>
      </c>
      <c r="F173" s="8" t="n">
        <v>8</v>
      </c>
      <c r="G173" s="9">
        <f>(C173+E173)*F173</f>
        <v/>
      </c>
      <c r="H173" s="8" t="n"/>
      <c r="I173" s="8" t="n"/>
      <c r="J173" s="8" t="n"/>
      <c r="K173" s="8" t="n"/>
      <c r="L173" s="8" t="n"/>
      <c r="M173" s="8" t="n"/>
      <c r="N173" s="7" t="inlineStr">
        <is>
          <t>Cable lugs for the waist/neck and arm branch fuse holders. Six installed plus two spares.</t>
        </is>
      </c>
      <c r="O173" s="7" t="inlineStr">
        <is>
          <t>Compatible with conductor classes 1, 2, 5 and 6. [2026-07-19: same exact Klauke part at Bürklin, order no. 07F2090; previous source Heamar.]</t>
        </is>
      </c>
      <c r="P173" s="8" t="inlineStr">
        <is>
          <t>Wiring</t>
        </is>
      </c>
      <c r="Q173" s="11" t="inlineStr">
        <is>
          <t>https://www.buerklin.com/en/p/klauke/cable-lugs/101r5/07F2090/</t>
        </is>
      </c>
      <c r="R173" s="8" t="inlineStr">
        <is>
          <t>Phase 3</t>
        </is>
      </c>
      <c r="S173" s="8" t="n"/>
      <c r="T173" s="8" t="n"/>
    </row>
    <row r="174">
      <c r="A174" s="7" t="inlineStr">
        <is>
          <t>Klauke K05 - manual hex crimper for tubular cable lugs, 6-50 mm2</t>
        </is>
      </c>
      <c r="B174" s="8" t="inlineStr">
        <is>
          <t>Bürklin</t>
        </is>
      </c>
      <c r="C174" s="9" t="n">
        <v>293.48</v>
      </c>
      <c r="D174" s="10" t="n">
        <v>0.22</v>
      </c>
      <c r="E174" s="9">
        <f>C174*D174</f>
        <v/>
      </c>
      <c r="F174" s="8" t="n">
        <v>1</v>
      </c>
      <c r="G174" s="9">
        <f>(C174+E174)*F174</f>
        <v/>
      </c>
      <c r="H174" s="8" t="n"/>
      <c r="I174" s="8" t="n"/>
      <c r="J174" s="8" t="n"/>
      <c r="K174" s="8" t="n"/>
      <c r="L174" s="8" t="n"/>
      <c r="M174" s="8" t="n"/>
      <c r="N174" s="7" t="inlineStr">
        <is>
          <t>Tool for correctly crimping 6, 16 and 25 mm2 tubular cable lugs. Do not use generic pliers for power wiring.</t>
        </is>
      </c>
      <c r="O174" s="7" t="inlineStr">
        <is>
          <t>If the lab already has an equivalent certified crimper for these lugs, subtract this row. [2026-07-19: same exact Klauke K05 at Bürklin (order 05L2734) - consolidates with the Bürklin lug order; also stocked by RS (stock 398-2270). Previous source: Toolnation.]</t>
        </is>
      </c>
      <c r="P174" s="8" t="inlineStr">
        <is>
          <t>Wiring</t>
        </is>
      </c>
      <c r="Q174" s="11" t="inlineStr">
        <is>
          <t>https://www.buerklin.com/en/Crimping-pliers-for%C2%A0Tubular-cable-lugs-and-connectors-6-0-50-mm%C2%B2-Klauke-K05/p/05L2734</t>
        </is>
      </c>
      <c r="R174" s="8" t="inlineStr">
        <is>
          <t>Phase 1</t>
        </is>
      </c>
      <c r="S174" s="8" t="n"/>
      <c r="T174" s="8" t="n"/>
    </row>
    <row r="175" hidden="1">
      <c r="A175" s="3" t="inlineStr">
        <is>
          <t>[OPZIONE qty0] JST YRS-1590 - pinza ufficiale per contatti GH SSHL-002T-P0.2</t>
        </is>
      </c>
      <c r="B175" s="4" t="inlineStr">
        <is>
          <t>DigiKey / JST</t>
        </is>
      </c>
      <c r="C175" s="5" t="n">
        <v>1595</v>
      </c>
      <c r="D175" s="6" t="n">
        <v>0.22</v>
      </c>
      <c r="E175" s="5">
        <f>C175*D175</f>
        <v/>
      </c>
      <c r="F175" s="4" t="n">
        <v>0</v>
      </c>
      <c r="G175" s="5">
        <f>(C175+E175)*F175</f>
        <v/>
      </c>
      <c r="H175" s="4" t="n"/>
      <c r="I175" s="4" t="n"/>
      <c r="J175" s="4" t="n"/>
      <c r="K175" s="4" t="n"/>
      <c r="L175" s="4" t="n"/>
      <c r="M175" s="4" t="n"/>
      <c r="N175" s="3" t="inlineStr">
        <is>
          <t>Pinza ufficiale per crimpare i microcontatti JST GH dei fasci CAN RS03/RS04. Non serve se il cablatore fornisce i fasci gia assemblati and collaudati.</t>
        </is>
      </c>
      <c r="O175" s="3" t="inlineStr">
        <is>
          <t>Exact SKU JST YRS-1590. DigiKey indicava USD 1736.95 about EUR 1595 il 2026-06-02. Per quindici motors and normalmente piu sensato commissionare i fasci a un cablatore and richiedere prova di trazione and test continuita, invece di comprare la pinza.</t>
        </is>
      </c>
      <c r="P175" s="4" t="inlineStr">
        <is>
          <t>Wiring</t>
        </is>
      </c>
      <c r="Q175" s="4" t="inlineStr">
        <is>
          <t>https://media.digikey.com/pdf/Data%20Sheets/JST%20PDFs/YRS-1590_spec.pdf</t>
        </is>
      </c>
      <c r="R175" s="4" t="inlineStr">
        <is>
          <t>Phase 1</t>
        </is>
      </c>
      <c r="S175" s="4" t="n"/>
      <c r="T175" s="4" t="n"/>
    </row>
    <row r="176">
      <c r="A176" s="7" t="inlineStr">
        <is>
          <t>Assorted heat-shrink tubing kit</t>
        </is>
      </c>
      <c r="B176" s="8" t="inlineStr">
        <is>
          <t>Amazon</t>
        </is>
      </c>
      <c r="C176" s="9" t="n">
        <v>20</v>
      </c>
      <c r="D176" s="10" t="n">
        <v>0.22</v>
      </c>
      <c r="E176" s="9">
        <f>C176*D176</f>
        <v/>
      </c>
      <c r="F176" s="8" t="n">
        <v>1</v>
      </c>
      <c r="G176" s="9">
        <f>(C176+E176)*F176</f>
        <v/>
      </c>
      <c r="H176" s="8" t="n"/>
      <c r="I176" s="8" t="n"/>
      <c r="J176" s="8" t="n"/>
      <c r="K176" s="8" t="n"/>
      <c r="L176" s="8" t="n"/>
      <c r="M176" s="8" t="n"/>
      <c r="N176" s="7" t="inlineStr">
        <is>
          <t>Insulation for cable lugs and joints. Add braided sleeve sizes after CAD/harness routing.</t>
        </is>
      </c>
      <c r="O176" s="7" t="inlineStr">
        <is>
          <t>Use only as insulation and bundling support, not as mechanical strain relief by itself.</t>
        </is>
      </c>
      <c r="P176" s="8" t="inlineStr">
        <is>
          <t>Wiring</t>
        </is>
      </c>
      <c r="Q176" s="11" t="inlineStr">
        <is>
          <t>https://www.amazon.it/Guaine-Termorestringenti-Tubi-Termorestringente-fai/dp/B0778D22WM</t>
        </is>
      </c>
      <c r="R176" s="8" t="inlineStr">
        <is>
          <t>Phase 1</t>
        </is>
      </c>
      <c r="S176" s="8" t="n"/>
      <c r="T176" s="8" t="n"/>
    </row>
    <row r="177">
      <c r="A177" s="7" t="inlineStr">
        <is>
          <t>Cable ties + adhesive mounts</t>
        </is>
      </c>
      <c r="B177" s="8" t="inlineStr">
        <is>
          <t>Amazon</t>
        </is>
      </c>
      <c r="C177" s="9" t="n">
        <v>10</v>
      </c>
      <c r="D177" s="10" t="n">
        <v>0.22</v>
      </c>
      <c r="E177" s="9">
        <f>C177*D177</f>
        <v/>
      </c>
      <c r="F177" s="8" t="n">
        <v>1</v>
      </c>
      <c r="G177" s="9">
        <f>(C177+E177)*F177</f>
        <v/>
      </c>
      <c r="H177" s="8" t="n"/>
      <c r="I177" s="8" t="n"/>
      <c r="J177" s="8" t="n"/>
      <c r="K177" s="8" t="n"/>
      <c r="L177" s="8" t="n"/>
      <c r="M177" s="8" t="n"/>
      <c r="N177" s="7" t="inlineStr">
        <is>
          <t>Cable-bundle fastening.</t>
        </is>
      </c>
      <c r="O177" s="7" t="inlineStr">
        <is>
          <t>Do not use adhesive mounts as the only retention on moving segments.</t>
        </is>
      </c>
      <c r="P177" s="8" t="inlineStr">
        <is>
          <t>Wiring</t>
        </is>
      </c>
      <c r="Q177" s="11" t="inlineStr">
        <is>
          <t>https://www.amazon.it/Basette-Fascette-Cablaggio-Neutro-Trasparente-Confezione/dp/B09HQYXPHZ</t>
        </is>
      </c>
      <c r="R177" s="8" t="inlineStr">
        <is>
          <t>Phase 1</t>
        </is>
      </c>
      <c r="S177" s="8" t="n"/>
      <c r="T177" s="8" t="n"/>
    </row>
    <row r="178" hidden="1">
      <c r="A178" s="3" t="inlineStr">
        <is>
          <t>[WORKSHOP qty0] Generic USB-C / USB-A debug cables</t>
        </is>
      </c>
      <c r="B178" s="4" t="inlineStr">
        <is>
          <t>existing lab stock</t>
        </is>
      </c>
      <c r="C178" s="5" t="n">
        <v>0</v>
      </c>
      <c r="D178" s="6" t="n">
        <v>0.22</v>
      </c>
      <c r="E178" s="5">
        <f>C178*D178</f>
        <v/>
      </c>
      <c r="F178" s="4" t="n">
        <v>0</v>
      </c>
      <c r="G178" s="5">
        <f>(C178+E178)*F178</f>
        <v/>
      </c>
      <c r="H178" s="4" t="n"/>
      <c r="I178" s="4" t="n"/>
      <c r="J178" s="4" t="n"/>
      <c r="K178" s="4" t="n"/>
      <c r="L178" s="4" t="n"/>
      <c r="M178" s="4" t="n"/>
      <c r="N178" s="3" t="inlineStr">
        <is>
          <t>Not an onboard purchase row. Device-specific onboard cables are listed separately; use existing lab cables for RobStride and Thor bench debugging.</t>
        </is>
      </c>
      <c r="O178" s="3" t="inlineStr">
        <is>
          <t>Kept qty 0 because a generic cable listing is not an exact robot component and cable length/connector orientation depend on the bench layout.</t>
        </is>
      </c>
      <c r="P178" s="4" t="inlineStr">
        <is>
          <t>Wiring</t>
        </is>
      </c>
      <c r="Q178" s="4" t="inlineStr">
        <is>
          <t>https://www.amazon.it/AmazonBasics-maschio-Type-C-USB-colore/dp/B01GGKYR2O</t>
        </is>
      </c>
      <c r="R178" s="4" t="inlineStr">
        <is>
          <t>Reference</t>
        </is>
      </c>
      <c r="S178" s="4" t="n"/>
      <c r="T178" s="4" t="n"/>
    </row>
    <row r="179" ht="20" customHeight="1">
      <c r="A179" s="2" t="inlineStr">
        <is>
          <t>5A - MOTOR HARNESS / CAN BUS - manufacture after CAD cable take-off</t>
        </is>
      </c>
    </row>
    <row r="180" hidden="1">
      <c r="A180" s="3" t="inlineStr">
        <is>
          <t>Seeed BCCA4011 XT30 (2+2) straight-to-right-angle 300 mm combined motor lead</t>
        </is>
      </c>
      <c r="B180" s="4" t="inlineStr">
        <is>
          <t>Seeed Studio</t>
        </is>
      </c>
      <c r="C180" s="5" t="n">
        <v>7.4</v>
      </c>
      <c r="D180" s="6" t="n">
        <v>0.22</v>
      </c>
      <c r="E180" s="5">
        <f>C180*D180</f>
        <v/>
      </c>
      <c r="F180" s="4" t="n">
        <v>0</v>
      </c>
      <c r="G180" s="5">
        <f>(C180+E180)*F180</f>
        <v/>
      </c>
      <c r="H180" s="4" t="n"/>
      <c r="I180" s="4" t="n"/>
      <c r="J180" s="4" t="n"/>
      <c r="K180" s="4" t="n"/>
      <c r="L180" s="4" t="n"/>
      <c r="M180" s="4" t="n"/>
      <c r="N180" s="3" t="inlineStr">
        <is>
          <t>Exact four-conductor ready-made motor lead: two 16 AWG silicone power conductors plus two 26 AWG signal conductors in a braided sleeve; 300 +/-15 mm overall. It is a motor lead, not a seven-motor CAN trunk. Use it only after confirming that the selected RobStride connector is the same XT30 (2+2) gender/keying.</t>
        </is>
      </c>
      <c r="O180" s="3" t="inlineStr">
        <is>
          <t>Exact manufacturer model BCCA4011 / SKU 100066605. The active RS06/RS00/RS05 cable rows above already use this part. This reference row exists so the electrical engineer sees its actual construction and does not confuse it with a CAN-only cable.</t>
        </is>
      </c>
      <c r="P180" s="4" t="inlineStr">
        <is>
          <t>Motor harness</t>
        </is>
      </c>
      <c r="Q180" s="4" t="inlineStr">
        <is>
          <t>https://www.seeedstudio.com/Power-Cable-XT30-2-2-Female-to-XT30-2-2-Female-300mm-p-6819.html</t>
        </is>
      </c>
      <c r="R180" s="4" t="inlineStr">
        <is>
          <t>Reference</t>
        </is>
      </c>
      <c r="S180" s="13" t="n">
        <v>0</v>
      </c>
      <c r="T180" s="4" t="n"/>
    </row>
    <row r="181">
      <c r="A181" s="7" t="inlineStr">
        <is>
          <t>[DESIGN DELIVERABLE - NOT A PURCHASE] HAR-ARM-01 arm CAN/power trunk assembly, left and right</t>
        </is>
      </c>
      <c r="B181" s="8" t="inlineStr">
        <is>
          <t>Project harness</t>
        </is>
      </c>
      <c r="C181" s="9" t="n">
        <v>0</v>
      </c>
      <c r="D181" s="10" t="n">
        <v>0.22</v>
      </c>
      <c r="E181" s="9">
        <f>C181*D181</f>
        <v/>
      </c>
      <c r="F181" s="8" t="n">
        <v>1</v>
      </c>
      <c r="G181" s="9">
        <f>(C181+E181)*F181</f>
        <v/>
      </c>
      <c r="H181" s="8" t="n"/>
      <c r="I181" s="8" t="n"/>
      <c r="J181" s="8" t="n"/>
      <c r="K181" s="8" t="n"/>
      <c r="L181" s="8" t="n"/>
      <c r="M181" s="8" t="n"/>
      <c r="N181" s="7" t="inlineStr">
        <is>
          <t>One routed trunk per arm: a protected power pair sized from the final branch current plus one 120-ohm twisted CAN pair. It must run shoulder-to-wrist with short serviceable motor drops, not seven long radial cables back to the CANable. Use the selected Belden 9841LSZH for CAN; select the exact flexible power-pair cable after CAD lengths, bend radius and current are frozen. With the hands active (2026-07-17) each arm trunk also carries the fused 24 V hand power pair and one RS485 twisted pair to the wrist; include both in the same take-off and drawing.</t>
        </is>
      </c>
      <c r="O181" s="7" t="inlineStr">
        <is>
          <t>Electrical-engineer handoff: make a drawing with connector IDs, wire gauge, wire colour, shield termination, branch length, bend radius, strain-relief point and pin-to-pin continuity for every motor. Measure centreline length in CAD, add 10% service slack plus connector bend allowance, then update quantity from metres rather than guessing today.</t>
        </is>
      </c>
      <c r="P181" s="8" t="inlineStr">
        <is>
          <t>Motor harness</t>
        </is>
      </c>
      <c r="Q181" s="11" t="inlineStr">
        <is>
          <t>https://www.belden.com/products/cable/electronic-cable/data-cable/9841</t>
        </is>
      </c>
      <c r="R181" s="8" t="inlineStr">
        <is>
          <t>CAD take-off</t>
        </is>
      </c>
      <c r="S181" s="8" t="n"/>
      <c r="T181" s="8" t="n"/>
    </row>
    <row r="182">
      <c r="A182" s="7" t="inlineStr">
        <is>
          <t>[DESIGN DELIVERABLE - NOT A PURCHASE] HAR-WST-01 waist/neck CAN/power trunk assembly</t>
        </is>
      </c>
      <c r="B182" s="8" t="inlineStr">
        <is>
          <t>Project harness</t>
        </is>
      </c>
      <c r="C182" s="9" t="n">
        <v>0</v>
      </c>
      <c r="D182" s="10" t="n">
        <v>0.22</v>
      </c>
      <c r="E182" s="9">
        <f>C182*D182</f>
        <v/>
      </c>
      <c r="F182" s="8" t="n">
        <v>1</v>
      </c>
      <c r="G182" s="9">
        <f>(C182+E182)*F182</f>
        <v/>
      </c>
      <c r="H182" s="8" t="n"/>
      <c r="I182" s="8" t="n"/>
      <c r="J182" s="8" t="n"/>
      <c r="K182" s="8" t="n"/>
      <c r="L182" s="8" t="n"/>
      <c r="M182" s="8" t="n"/>
      <c r="N182" s="7" t="inlineStr">
        <is>
          <t>One short torso trunk serving waist yaw, waist roll and two neck motors. Electrical topology is a CAN backbone with short drops, while 48 V power branches separately from the fused waist/neck source.</t>
        </is>
      </c>
      <c r="O182" s="7" t="inlineStr">
        <is>
          <t>Do not use an unmeasured cable length. Route it in CAD with the full waist range, then specify each run centreline plus 10% service slack and a strain-relieved service loop outside rotating joints.</t>
        </is>
      </c>
      <c r="P182" s="8" t="inlineStr">
        <is>
          <t>Motor harness</t>
        </is>
      </c>
      <c r="Q182" s="11" t="inlineStr">
        <is>
          <t>https://www.belden.com/products/cable/electronic-cable/data-cable/9841</t>
        </is>
      </c>
      <c r="R182" s="8" t="inlineStr">
        <is>
          <t>CAD take-off</t>
        </is>
      </c>
      <c r="S182" s="8" t="n"/>
      <c r="T182" s="8" t="n"/>
    </row>
    <row r="183">
      <c r="A183" s="7" t="inlineStr">
        <is>
          <t>[DESIGN DELIVERABLE - NOT A PURCHASE] JBOX-CAN-01 inline CAN/power branch junction</t>
        </is>
      </c>
      <c r="B183" s="8" t="inlineStr">
        <is>
          <t>Project PCB / harness</t>
        </is>
      </c>
      <c r="C183" s="9" t="n">
        <v>0</v>
      </c>
      <c r="D183" s="10" t="n">
        <v>0.22</v>
      </c>
      <c r="E183" s="9">
        <f>C183*D183</f>
        <v/>
      </c>
      <c r="F183" s="8" t="n">
        <v>1</v>
      </c>
      <c r="G183" s="9">
        <f>(C183+E183)*F183</f>
        <v/>
      </c>
      <c r="H183" s="8" t="n"/>
      <c r="I183" s="8" t="n"/>
      <c r="J183" s="8" t="n"/>
      <c r="K183" s="8" t="n"/>
      <c r="L183" s="8" t="n"/>
      <c r="M183" s="8" t="n"/>
      <c r="N183" s="7" t="inlineStr">
        <is>
          <t>Small inline branch assembly at each motor location: CAN-H/CAN-L through-trunk plus a short CAN drop to that motor; power is a separately rated branch. This creates a bus topology, not a star. Use one per motor only where the actuator has no CAN pass-through.</t>
        </is>
      </c>
      <c r="O183" s="7" t="inlineStr">
        <is>
          <t>Electrical-engineer specification: use a small 2-layer PCB or qualified crimp-splice assembly inside a mechanically supported enclosure. Keep the CAN stub from trunk to motor as short as possible, retain the CAN pair twist to the branch, do not terminate at intermediate motors, and use exactly two 120-ohm terminators per complete bus. Choose the enclosure, PCB terminals and splice SKU only after the actual motor connector and cable OD are verified; no safe universal part number exists.</t>
        </is>
      </c>
      <c r="P183" s="8" t="inlineStr">
        <is>
          <t>Motor harness</t>
        </is>
      </c>
      <c r="Q183" s="11" t="inlineStr">
        <is>
          <t>https://www.ti.com/lit/an/slla270/slla270.pdf</t>
        </is>
      </c>
      <c r="R183" s="8" t="inlineStr">
        <is>
          <t>CAD take-off</t>
        </is>
      </c>
      <c r="S183" s="8" t="n"/>
      <c r="T183" s="8" t="n"/>
    </row>
    <row r="184">
      <c r="A184" s="7" t="inlineStr">
        <is>
          <t>Seeed XT30 (2+2) Power Separation Board, SKU 100045091</t>
        </is>
      </c>
      <c r="B184" s="8" t="inlineStr">
        <is>
          <t>Seeed Studio</t>
        </is>
      </c>
      <c r="C184" s="9" t="n">
        <v>5</v>
      </c>
      <c r="D184" s="10" t="n">
        <v>0.22</v>
      </c>
      <c r="E184" s="9">
        <f>C184*D184</f>
        <v/>
      </c>
      <c r="F184" s="8" t="n">
        <v>2</v>
      </c>
      <c r="G184" s="9">
        <f>(C184+E184)*F184</f>
        <v/>
      </c>
      <c r="H184" s="8" t="n"/>
      <c r="I184" s="8" t="n"/>
      <c r="J184" s="8" t="n"/>
      <c r="K184" s="8" t="n"/>
      <c r="L184" s="8" t="n"/>
      <c r="M184" s="8" t="n"/>
      <c r="N184" s="7" t="inlineStr">
        <is>
          <t>Breaks one XT30 (2+2) connector into a standard XT30 power connector and a GH1.25 two-pin CAN connector. Activated qty 2 for the MS1 arm bench: junction points to feed/tap power and CAN when daisy-chaining the 7 arm actuators with BCCA4011 leads, and the place to fit the 120 ohm bus terminations.</t>
        </is>
      </c>
      <c r="O184" s="7" t="inlineStr">
        <is>
          <t>Not for RS03/RS04 (those use separate XT30 power and JST GH CAN connectors). Verify physical XT30 (2+2) mating with the arm RS06/RS00 before relying on it as the permanent junction; it remains the bench solution until the JBOX-CAN-01 junction is designed.</t>
        </is>
      </c>
      <c r="P184" s="8" t="inlineStr">
        <is>
          <t>Motor harness</t>
        </is>
      </c>
      <c r="Q184" s="11" t="inlineStr">
        <is>
          <t>https://www.seeedstudio.com/XT30-2-2-Power-Separation-Board-p-6707.html</t>
        </is>
      </c>
      <c r="R184" s="8" t="inlineStr">
        <is>
          <t>Phase 1</t>
        </is>
      </c>
      <c r="S184" s="8" t="n"/>
      <c r="T184" s="8" t="n"/>
    </row>
    <row r="185">
      <c r="A185" s="7" t="inlineStr">
        <is>
          <t>[DESIGN DELIVERABLE - NOT A PURCHASE] HAR-RS03RS04-01 custom RS03/RS04 power + CAN harness set</t>
        </is>
      </c>
      <c r="B185" s="8" t="inlineStr">
        <is>
          <t>Project harness</t>
        </is>
      </c>
      <c r="C185" s="9" t="n">
        <v>0</v>
      </c>
      <c r="D185" s="10" t="n">
        <v>0.22</v>
      </c>
      <c r="E185" s="9">
        <f>C185*D185</f>
        <v/>
      </c>
      <c r="F185" s="8" t="n">
        <v>1</v>
      </c>
      <c r="G185" s="9">
        <f>(C185+E185)*F185</f>
        <v/>
      </c>
      <c r="H185" s="8" t="n"/>
      <c r="I185" s="8" t="n"/>
      <c r="J185" s="8" t="n"/>
      <c r="K185" s="8" t="n"/>
      <c r="L185" s="8" t="n"/>
      <c r="M185" s="8" t="n"/>
      <c r="N185" s="7" t="inlineStr">
        <is>
          <t>Custom harness set for RS04 hip/knee motors and RS03 hip-yaw/waist-roll motors. Each motor receives a separate AMASS XT30UW-F.G.Y power drop and JST GHR-02V-S CAN drop from its relevant trunk; both connectors are already listed as purchasable BOM rows.</t>
        </is>
      </c>
      <c r="O185" s="7" t="inlineStr">
        <is>
          <t>Electrical-engineer handoff: create one table per motor with source fuse branch, motor CAN bus, CAN ID, XT30 pin polarity, GH pinout, centreline cable length, wire gauge, mating connector, crimp tool and continuity-test result. Do not use the Seeed XT30 (2+2) lead on these motors unless an actual physical test confirms compatibility.</t>
        </is>
      </c>
      <c r="P185" s="8" t="inlineStr">
        <is>
          <t>Motor harness</t>
        </is>
      </c>
      <c r="Q185" s="11" t="inlineStr">
        <is>
          <t>https://www.robstride.com/assets/product_manual_robStride04-37549d59.pdf</t>
        </is>
      </c>
      <c r="R185" s="8" t="inlineStr">
        <is>
          <t>CAD take-off</t>
        </is>
      </c>
      <c r="S185" s="8" t="n"/>
      <c r="T185" s="8" t="n"/>
    </row>
    <row r="186">
      <c r="A186" s="7" t="inlineStr">
        <is>
          <t>[DESIGN DELIVERABLE - NOT A PURCHASE] HAR-MECH-01 strain relief, grommet and harness mounting plan</t>
        </is>
      </c>
      <c r="B186" s="8" t="inlineStr">
        <is>
          <t>Project mechanical/electrical</t>
        </is>
      </c>
      <c r="C186" s="9" t="n">
        <v>0</v>
      </c>
      <c r="D186" s="10" t="n">
        <v>0.22</v>
      </c>
      <c r="E186" s="9">
        <f>C186*D186</f>
        <v/>
      </c>
      <c r="F186" s="8" t="n">
        <v>1</v>
      </c>
      <c r="G186" s="9">
        <f>(C186+E186)*F186</f>
        <v/>
      </c>
      <c r="H186" s="8" t="n"/>
      <c r="I186" s="8" t="n"/>
      <c r="J186" s="8" t="n"/>
      <c r="K186" s="8" t="n"/>
      <c r="L186" s="8" t="n"/>
      <c r="M186" s="8" t="n"/>
      <c r="N186" s="7" t="inlineStr">
        <is>
          <t>Defines every fixed clamp, flexible service loop, grommet and moving-joint strain-relief point. Harnesses must never hang from JST/GH contacts or motor connectors.</t>
        </is>
      </c>
      <c r="O186" s="7" t="inlineStr">
        <is>
          <t>Electrical-engineer + CAD handoff: assign each clip/grommet an ID and add its exact final part number only after the printed-hole diameter, cable outside diameter, bend radius and joint travel are measured. Use the 3D-printed structure for clamp geometry, but use a soft grommet where the harness crosses an edge.</t>
        </is>
      </c>
      <c r="P186" s="8" t="inlineStr">
        <is>
          <t>Motor harness</t>
        </is>
      </c>
      <c r="Q186" s="11" t="inlineStr">
        <is>
          <t>https://www.igus.eu/info/chainflex-cable-strain-relief</t>
        </is>
      </c>
      <c r="R186" s="8" t="inlineStr">
        <is>
          <t>CAD take-off</t>
        </is>
      </c>
      <c r="S186" s="8" t="n"/>
      <c r="T186" s="8" t="n"/>
    </row>
    <row r="187">
      <c r="A187" s="7" t="inlineStr">
        <is>
          <t>[DESIGN DELIVERABLE - NOT A PURCHASE] HAR-MAP-01 final motor connector and CAN-ID map</t>
        </is>
      </c>
      <c r="B187" s="8" t="inlineStr">
        <is>
          <t>Project documentation</t>
        </is>
      </c>
      <c r="C187" s="9" t="n">
        <v>0</v>
      </c>
      <c r="D187" s="10" t="n">
        <v>0.22</v>
      </c>
      <c r="E187" s="9">
        <f>C187*D187</f>
        <v/>
      </c>
      <c r="F187" s="8" t="n">
        <v>1</v>
      </c>
      <c r="G187" s="9">
        <f>(C187+E187)*F187</f>
        <v/>
      </c>
      <c r="H187" s="8" t="n"/>
      <c r="I187" s="8" t="n"/>
      <c r="J187" s="8" t="n"/>
      <c r="K187" s="8" t="n"/>
      <c r="L187" s="8" t="n"/>
      <c r="M187" s="8" t="n"/>
      <c r="N187" s="7" t="inlineStr">
        <is>
          <t>Mandatory manufacturing document mapping every motor to: physical location, RobStride model, CANable/Thor bus, CAN ID, two CAN termination endpoints, power-fuse branch, connector gender, pinout and harness drawing number.</t>
        </is>
      </c>
      <c r="O187" s="7" t="inlineStr">
        <is>
          <t>This is a deliverable, not a purchasable part. It prevents duplicate CAN IDs, reversed CAN-H/CAN-L, wrong motor polarity and accidental termination at intermediate motors. Freeze it before buying cut-to-length harnesses.</t>
        </is>
      </c>
      <c r="P187" s="8" t="inlineStr">
        <is>
          <t>Motor harness</t>
        </is>
      </c>
      <c r="Q187" s="11" t="inlineStr">
        <is>
          <t>https://www.ti.com/lit/an/slla270/slla270.pdf</t>
        </is>
      </c>
      <c r="R187" s="8" t="inlineStr">
        <is>
          <t>CAD take-off</t>
        </is>
      </c>
      <c r="S187" s="8" t="n"/>
      <c r="T187" s="8" t="n"/>
    </row>
    <row r="188" ht="20" customHeight="1">
      <c r="A188" s="2" t="inlineStr">
        <is>
          <t>6 - COMPUTE AND SENSORS</t>
        </is>
      </c>
    </row>
    <row r="189">
      <c r="A189" s="7" t="inlineStr">
        <is>
          <t>NVIDIA Jetson AGX Thor Developer Kit</t>
        </is>
      </c>
      <c r="B189" s="8" t="inlineStr">
        <is>
          <t>Seeed / Arrow - ALREADY OWNED (lab)</t>
        </is>
      </c>
      <c r="C189" s="9" t="n">
        <v>0</v>
      </c>
      <c r="D189" s="10" t="n">
        <v>0.22</v>
      </c>
      <c r="E189" s="9">
        <f>C189*D189</f>
        <v/>
      </c>
      <c r="F189" s="8" t="n">
        <v>1</v>
      </c>
      <c r="G189" s="9">
        <f>(C189+E189)*F189</f>
        <v/>
      </c>
      <c r="H189" s="8" t="n"/>
      <c r="I189" s="8" t="n"/>
      <c r="J189" s="8" t="n"/>
      <c r="K189" s="8" t="n"/>
      <c r="L189" s="8" t="n"/>
      <c r="M189" s="8" t="n"/>
      <c r="N189" s="7" t="inlineStr">
        <is>
          <t>Only onboard computer for perception, policy, state estimation and the 250 Hz RobStride target-refresh process. Dev-kit size 243.19 x 112.40 x 56.88 mm, approximately 1.94 kg; T5000 module power configurable from 40 to 130 W.</t>
        </is>
      </c>
      <c r="O189" s="7" t="inlineStr">
        <is>
          <t>ALREADY OWNED (lab stock, 2026-07-19): counted at EUR 0; reference price EUR 3,300 net. Use PREEMPT_RT and a separate high-priority control process. CAD reserve at least 255 x 125 x 72 mm including cable bends and airflow. Enforce a &lt;=130 W nvpmodel for the shared 24 V power budget.</t>
        </is>
      </c>
      <c r="P189" s="8" t="inlineStr">
        <is>
          <t>Compute</t>
        </is>
      </c>
      <c r="Q189" s="11" t="inlineStr">
        <is>
          <t>https://www.seeedstudio.com/NVIDIA-Jetson-AGX-Thor-Developer-Kit-p-9965.html</t>
        </is>
      </c>
      <c r="R189" s="8" t="inlineStr">
        <is>
          <t>Phase 1</t>
        </is>
      </c>
      <c r="S189" s="12" t="n">
        <v>1.94</v>
      </c>
      <c r="T189" s="8" t="n"/>
    </row>
    <row r="190">
      <c r="A190" s="7" t="inlineStr">
        <is>
          <t>Waveshare USB TO AUDIO USB sound card, SKU 18833</t>
        </is>
      </c>
      <c r="B190" s="8" t="inlineStr">
        <is>
          <t>Waveshare</t>
        </is>
      </c>
      <c r="C190" s="9" t="n">
        <v>7.99</v>
      </c>
      <c r="D190" s="10" t="n">
        <v>0.22</v>
      </c>
      <c r="E190" s="9">
        <f>C190*D190</f>
        <v/>
      </c>
      <c r="F190" s="8" t="n">
        <v>1</v>
      </c>
      <c r="G190" s="9">
        <f>(C190+E190)*F190</f>
        <v/>
      </c>
      <c r="H190" s="8" t="n"/>
      <c r="I190" s="8" t="n"/>
      <c r="J190" s="8" t="n"/>
      <c r="K190" s="8" t="n"/>
      <c r="L190" s="8" t="n"/>
      <c r="M190" s="8" t="n"/>
      <c r="N190" s="7" t="inlineStr">
        <is>
          <t>Simple first-iteration robot voice board: one USB 2.0 audio device with an onboard microphone, stereo codec and PH2.0 speaker connector. It records and plays audio under Linux without a special driver; the integrated BTL speaker driver is rated 2.6 W per channel into 4 ohm.</t>
        </is>
      </c>
      <c r="O190" s="7" t="inlineStr">
        <is>
          <t>Exact Waveshare part USB TO AUDIO / SKU 18833. Connect it to Thor USB-C #2 through the exact LINDY 41899 adapter below. This board gives basic listening/speaking, not far-field microphone-array quality or acoustic echo cancellation. Keep its microphone opening physically separated from the speaker grille; start with push-to-talk or half-duplex voice behavior.</t>
        </is>
      </c>
      <c r="P190" s="8" t="inlineStr">
        <is>
          <t>Audio</t>
        </is>
      </c>
      <c r="Q190" s="11" t="inlineStr">
        <is>
          <t>https://www.waveshare.com/product/usb-to-audio.htm</t>
        </is>
      </c>
      <c r="R190" s="8" t="inlineStr">
        <is>
          <t>Phase 3</t>
        </is>
      </c>
      <c r="S190" s="12" t="n">
        <v>0.055</v>
      </c>
      <c r="T190" s="8" t="n"/>
    </row>
    <row r="191">
      <c r="A191" s="7" t="inlineStr">
        <is>
          <t>PUI Audio AS03604AR bare speaker, 36 mm, 4 ohm, 3 W</t>
        </is>
      </c>
      <c r="B191" s="8" t="inlineStr">
        <is>
          <t>Mouser / DigiKey / Farnell</t>
        </is>
      </c>
      <c r="C191" s="9" t="n">
        <v>10</v>
      </c>
      <c r="D191" s="10" t="n">
        <v>0.22</v>
      </c>
      <c r="E191" s="9">
        <f>C191*D191</f>
        <v/>
      </c>
      <c r="F191" s="8" t="n">
        <v>1</v>
      </c>
      <c r="G191" s="9">
        <f>(C191+E191)*F191</f>
        <v/>
      </c>
      <c r="H191" s="8" t="n"/>
      <c r="I191" s="8" t="n"/>
      <c r="J191" s="8" t="n"/>
      <c r="K191" s="8" t="n"/>
      <c r="L191" s="8" t="n"/>
      <c r="M191" s="8" t="n"/>
      <c r="N191" s="7" t="inlineStr">
        <is>
          <t>Exposed frame-mount speaker for robot speech: 36 mm diameter, 8.8 mm high, 4 ohm, 3 W rated, 88 dB sensitivity. Wire one channel from the Waveshare audio board PH2.0 speaker connector to its solder pads.</t>
        </is>
      </c>
      <c r="O191" s="7" t="inlineStr">
        <is>
          <t>Exact manufacturer model AS03604AR, Mouser 665-AS03604AR / DigiKey 668-AS03604AR-ND. The driver has no mounting holes: retain it with a printed circular pocket and separate printed ring or grille, not adhesive alone. Front grille: keep at least 1 mm clear of diaphragm; back: reserve a shallow 36-40 mm diameter cavity. Use thin flexible two-core speaker wire; verify PH2.0 connector gender on the delivered Waveshare board before crimping the harness.</t>
        </is>
      </c>
      <c r="P191" s="8" t="inlineStr">
        <is>
          <t>Audio</t>
        </is>
      </c>
      <c r="Q191" s="11" t="inlineStr">
        <is>
          <t>https://eu.mouser.com/ProductDetail/PUI-Audio/AS03604AR?qs=VVKQmw408U%2FBSl17uW5%2FPA%3D%3D</t>
        </is>
      </c>
      <c r="R191" s="8" t="inlineStr">
        <is>
          <t>Phase 3</t>
        </is>
      </c>
      <c r="S191" s="12" t="n">
        <v>0.024</v>
      </c>
      <c r="T191" s="8" t="n"/>
    </row>
    <row r="192">
      <c r="A192" s="7" t="inlineStr">
        <is>
          <t>LINDY 41899 USB-C male to USB-A female adapter for audio board</t>
        </is>
      </c>
      <c r="B192" s="8" t="inlineStr">
        <is>
          <t>LINDY / EU distributors</t>
        </is>
      </c>
      <c r="C192" s="9" t="n">
        <v>10</v>
      </c>
      <c r="D192" s="10" t="n">
        <v>0.22</v>
      </c>
      <c r="E192" s="9">
        <f>C192*D192</f>
        <v/>
      </c>
      <c r="F192" s="8" t="n">
        <v>1</v>
      </c>
      <c r="G192" s="9">
        <f>(C192+E192)*F192</f>
        <v/>
      </c>
      <c r="H192" s="8" t="n"/>
      <c r="I192" s="8" t="n"/>
      <c r="J192" s="8" t="n"/>
      <c r="K192" s="8" t="n"/>
      <c r="L192" s="8" t="n"/>
      <c r="M192" s="8" t="n"/>
      <c r="N192" s="7" t="inlineStr">
        <is>
          <t>Connects the Waveshare USB-A audio-board cable to Thor's free normal USB-C #2 port. USB 2.0 audio is fully compatible with this USB 3.2 adapter.</t>
        </is>
      </c>
      <c r="O192" s="7" t="inlineStr">
        <is>
          <t>Exact LINDY 41899, USB-C male to USB-A female, 19 x 11 x 33 mm. Port map after this addition: USB-A #1 = D436; USB-A #2 = four-port hub for three CANable + IMU; USB-C #1 = dual RS485 hands; USB-C #2 = Waveshare audio. The debug USB-C remains reserved for recovery/flashing.</t>
        </is>
      </c>
      <c r="P192" s="8" t="inlineStr">
        <is>
          <t>Audio</t>
        </is>
      </c>
      <c r="Q192" s="11" t="inlineStr">
        <is>
          <t>https://www.lindy.eu/USB-3-2-Type-C-to-A-Adapter.htm?pi=41899&amp;websale8=ld0101.ld021102</t>
        </is>
      </c>
      <c r="R192" s="8" t="inlineStr">
        <is>
          <t>Phase 3</t>
        </is>
      </c>
      <c r="S192" s="12" t="n">
        <v>0.005</v>
      </c>
      <c r="T192" s="8" t="n"/>
    </row>
    <row r="193">
      <c r="A193" s="7" t="inlineStr">
        <is>
          <t>[DESIGN DELIVERABLE - NOT A PURCHASE] AUD-MNT-01 speaker pocket, retaining ring and grille</t>
        </is>
      </c>
      <c r="B193" s="8" t="inlineStr">
        <is>
          <t>Project mechanical/electrical</t>
        </is>
      </c>
      <c r="C193" s="9" t="n">
        <v>0</v>
      </c>
      <c r="D193" s="10" t="n">
        <v>0.22</v>
      </c>
      <c r="E193" s="9">
        <f>C193*D193</f>
        <v/>
      </c>
      <c r="F193" s="8" t="n">
        <v>1</v>
      </c>
      <c r="G193" s="9">
        <f>(C193+E193)*F193</f>
        <v/>
      </c>
      <c r="H193" s="8" t="n"/>
      <c r="I193" s="8" t="n"/>
      <c r="J193" s="8" t="n"/>
      <c r="K193" s="8" t="n"/>
      <c r="L193" s="8" t="n"/>
      <c r="M193" s="8" t="n"/>
      <c r="N193" s="7" t="inlineStr">
        <is>
          <t>CAD deliverable for the PUI AS03604AR: printed 36.2 mm nominal circular pocket, removable retaining ring or back-clamp, front perforated grille and rear acoustic cavity. Do not put screw heads, grille or hard support against the moving diaphragm.</t>
        </is>
      </c>
      <c r="O193" s="7" t="inlineStr">
        <is>
          <t>Use the speaker's 36 mm outside diameter and 8.8 mm height as packaging dimensions; allow at least 1 mm front diaphragm clearance and a serviceable wire exit with strain relief. Final pocket clearance must be adjusted after measuring the physical speaker; do not use adhesive as the sole retention on a vibrating humanoid.</t>
        </is>
      </c>
      <c r="P193" s="8" t="inlineStr">
        <is>
          <t>Audio</t>
        </is>
      </c>
      <c r="Q193" s="11" t="inlineStr">
        <is>
          <t>https://puiaudio.com/product/s/AS03604AR</t>
        </is>
      </c>
      <c r="R193" s="8" t="inlineStr">
        <is>
          <t>CAD take-off</t>
        </is>
      </c>
      <c r="S193" s="8" t="n"/>
      <c r="T193" s="8" t="n"/>
    </row>
    <row r="194">
      <c r="A194" s="7" t="inlineStr">
        <is>
          <t>RealSense D436 depth camera with RGB and IMU</t>
        </is>
      </c>
      <c r="B194" s="8" t="inlineStr">
        <is>
          <t>RealSense Store</t>
        </is>
      </c>
      <c r="C194" s="9" t="n">
        <v>309.71</v>
      </c>
      <c r="D194" s="10" t="n">
        <v>0.22</v>
      </c>
      <c r="E194" s="9">
        <f>C194*D194</f>
        <v/>
      </c>
      <c r="F194" s="8" t="n">
        <v>1</v>
      </c>
      <c r="G194" s="9">
        <f>(C194+E194)*F194</f>
        <v/>
      </c>
      <c r="H194" s="8" t="n"/>
      <c r="I194" s="8" t="n"/>
      <c r="J194" s="8" t="n"/>
      <c r="K194" s="8" t="n"/>
      <c r="L194" s="8" t="n"/>
      <c r="M194" s="8" t="n"/>
      <c r="N194" s="7" t="inlineStr">
        <is>
          <t>Compact head perception camera: global-shutter stereo depth, global-shutter RGB and IMU. Envelope 90 x 25 x 25 mm, mass 0.075 kg, USB-C 3.1, two M3 mounting points plus 1/4-20 thread.</t>
        </is>
      </c>
      <c r="O194" s="7" t="inlineStr">
        <is>
          <t>Exact SKU 99CWHP. Official price checked 2026-07-11: USD 354 before shipping/import, converted at 1 EUR = 1.1430 USD. The current official D400 CAD archive does not yet contain a D436 file; RealSense states the D436 shares the D435i external dimensions, so use the official D435i model only as a provisional envelope and verify the physical unit before final camera-bracket release.</t>
        </is>
      </c>
      <c r="P194" s="8" t="inlineStr">
        <is>
          <t>Sensors</t>
        </is>
      </c>
      <c r="Q194" s="11" t="inlineStr">
        <is>
          <t>https://store.realsenseai.com/buy-intel-realsense-depth-camera-d436.html</t>
        </is>
      </c>
      <c r="R194" s="8" t="inlineStr">
        <is>
          <t>Phase 1</t>
        </is>
      </c>
      <c r="S194" s="12" t="n">
        <v>0.075</v>
      </c>
      <c r="T194" s="11" t="inlineStr">
        <is>
          <t>https://dev.realsenseai.com/docs/stereo-depth-camera-d400#cad-files</t>
        </is>
      </c>
    </row>
    <row r="195">
      <c r="A195" s="7" t="inlineStr">
        <is>
          <t>Molex 0430250400 Micro-Fit 3.0 2x2 receptacle housing for Thor power</t>
        </is>
      </c>
      <c r="B195" s="8" t="inlineStr">
        <is>
          <t>DigiKey</t>
        </is>
      </c>
      <c r="C195" s="9" t="n">
        <v>0.4</v>
      </c>
      <c r="D195" s="10" t="n">
        <v>0.22</v>
      </c>
      <c r="E195" s="9">
        <f>C195*D195</f>
        <v/>
      </c>
      <c r="F195" s="8" t="n">
        <v>1</v>
      </c>
      <c r="G195" s="9">
        <f>(C195+E195)*F195</f>
        <v/>
      </c>
      <c r="H195" s="8" t="n"/>
      <c r="I195" s="8" t="n"/>
      <c r="J195" s="8" t="n"/>
      <c r="K195" s="8" t="n"/>
      <c r="L195" s="8" t="n"/>
      <c r="M195" s="8" t="n"/>
      <c r="N195" s="7" t="inlineStr">
        <is>
          <t>Exact mating housing for the Thor developer-kit J74 2x2 Micro-Fit 3.0 power input. NVIDIA pinout looking into the board: pins 1-2 are 24 V power and pins 3-4 are ground.</t>
        </is>
      </c>
      <c r="O195" s="7" t="inlineStr">
        <is>
          <t>Use both positive and both ground circuits; do not bridge to a single undersized contact. The completed harness connects the dedicated 10 A 24 V fuse to Thor. Commission the crimping if the correct Molex tooling is not available.</t>
        </is>
      </c>
      <c r="P195" s="8" t="inlineStr">
        <is>
          <t>Wiring</t>
        </is>
      </c>
      <c r="Q195" s="11" t="inlineStr">
        <is>
          <t>https://www.digikey.com/en/products/detail/molex/0430250400/252497</t>
        </is>
      </c>
      <c r="R195" s="8" t="inlineStr">
        <is>
          <t>Phase 1</t>
        </is>
      </c>
      <c r="S195" s="8" t="n"/>
      <c r="T195" s="8" t="n"/>
    </row>
    <row r="196">
      <c r="A196" s="7" t="inlineStr">
        <is>
          <t>Molex 0430300040 Micro-Fit 3.0 female crimp contact, 18 AWG, for Thor power</t>
        </is>
      </c>
      <c r="B196" s="8" t="inlineStr">
        <is>
          <t>DigiKey</t>
        </is>
      </c>
      <c r="C196" s="9" t="n">
        <v>0.2</v>
      </c>
      <c r="D196" s="10" t="n">
        <v>0.22</v>
      </c>
      <c r="E196" s="9">
        <f>C196*D196</f>
        <v/>
      </c>
      <c r="F196" s="8" t="n">
        <v>8</v>
      </c>
      <c r="G196" s="9">
        <f>(C196+E196)*F196</f>
        <v/>
      </c>
      <c r="H196" s="8" t="n"/>
      <c r="I196" s="8" t="n"/>
      <c r="J196" s="8" t="n"/>
      <c r="K196" s="8" t="n"/>
      <c r="L196" s="8" t="n"/>
      <c r="M196" s="8" t="n"/>
      <c r="N196" s="7" t="inlineStr">
        <is>
          <t>Four contacts are required for the Thor harness and four are spares for crimp qualification. Use 18 AWG flexible copper wire for each of the two 24 V and two ground circuits.</t>
        </is>
      </c>
      <c r="O196" s="7" t="inlineStr">
        <is>
          <t>Exact Molex 0430300040, female gold-plated contact for 18 AWG and 1.85 mm maximum insulation diameter. Perform pull, polarity and continuity tests before connecting Thor.</t>
        </is>
      </c>
      <c r="P196" s="8" t="inlineStr">
        <is>
          <t>Wiring</t>
        </is>
      </c>
      <c r="Q196" s="11" t="inlineStr">
        <is>
          <t>https://www.digikey.com/en/products/detail/molex/0430300040/11503719</t>
        </is>
      </c>
      <c r="R196" s="8" t="inlineStr">
        <is>
          <t>Phase 1</t>
        </is>
      </c>
      <c r="S196" s="8" t="n"/>
      <c r="T196" s="8" t="n"/>
    </row>
    <row r="197">
      <c r="A197" s="7" t="inlineStr">
        <is>
          <t>Phidgets MOT0110_0 PhidgetSpatial Precision 3/3/3 pelvis IMU</t>
        </is>
      </c>
      <c r="B197" s="8" t="inlineStr">
        <is>
          <t>Phidgets / EU distributors</t>
        </is>
      </c>
      <c r="C197" s="9" t="n">
        <v>91.86</v>
      </c>
      <c r="D197" s="10" t="n">
        <v>0.22</v>
      </c>
      <c r="E197" s="9">
        <f>C197*D197</f>
        <v/>
      </c>
      <c r="F197" s="8" t="n">
        <v>1</v>
      </c>
      <c r="G197" s="9">
        <f>(C197+E197)*F197</f>
        <v/>
      </c>
      <c r="H197" s="8" t="n"/>
      <c r="I197" s="8" t="n"/>
      <c r="J197" s="8" t="n"/>
      <c r="K197" s="8" t="n"/>
      <c r="L197" s="8" t="n"/>
      <c r="M197" s="8" t="n"/>
      <c r="N197" s="7" t="inlineStr">
        <is>
          <t>Selected base IMU for the open-source build: factory-calibrated 3-axis accelerometer +/-16 g, gyroscope +/-2000 deg/s and magnetometer +/-8 G; synchronized timestamps, built-in IMU/AHRS algorithms, USB and Linux Phidget22 support, up to 1 kHz sampling. Enclosed dimensions 38.989 x 37.846 x 13.380 mm; CAD mass budget 0.030 kg.</t>
        </is>
      </c>
      <c r="O197" s="7" t="inlineStr">
        <is>
          <t>Exact SKU MOT0110_0, USD 105 with 978 units shown available on 2026-07-12. Mount rigidly on the pelvis/hip base below the articulated waist, with the axes documented, away from high-current cables and motors. For locomotion use gyro+accelerometer fusion; do not trust magnetic yaw near QDD motors without an in-situ calibration. Official mechanical drawing and 3D ZIP are on the product page.</t>
        </is>
      </c>
      <c r="P197" s="8" t="inlineStr">
        <is>
          <t>Sensors</t>
        </is>
      </c>
      <c r="Q197" s="11" t="inlineStr">
        <is>
          <t>https://www.phidgets.com/?prodid=1205</t>
        </is>
      </c>
      <c r="R197" s="8" t="inlineStr">
        <is>
          <t>Phase 2</t>
        </is>
      </c>
      <c r="S197" s="12" t="n">
        <v>0.03</v>
      </c>
      <c r="T197" s="11" t="inlineStr">
        <is>
          <t>https://www.phidgets.com/productfiles/MOT0110/MOT0110_0/Images/MOT0110_0_3D.zip</t>
        </is>
      </c>
    </row>
    <row r="198">
      <c r="A198" s="7" t="inlineStr">
        <is>
          <t>Phidgets CBL4011_0 USB-A to Mini-B right-angle cable, 280 mm, for pelvis IMU</t>
        </is>
      </c>
      <c r="B198" s="8" t="inlineStr">
        <is>
          <t>Phidgets</t>
        </is>
      </c>
      <c r="C198" s="9" t="n">
        <v>3.06</v>
      </c>
      <c r="D198" s="10" t="n">
        <v>0.22</v>
      </c>
      <c r="E198" s="9">
        <f>C198*D198</f>
        <v/>
      </c>
      <c r="F198" s="8" t="n">
        <v>1</v>
      </c>
      <c r="G198" s="9">
        <f>(C198+E198)*F198</f>
        <v/>
      </c>
      <c r="H198" s="8" t="n"/>
      <c r="I198" s="8" t="n"/>
      <c r="J198" s="8" t="n"/>
      <c r="K198" s="8" t="n"/>
      <c r="L198" s="8" t="n"/>
      <c r="M198" s="8" t="n"/>
      <c r="N198" s="7" t="inlineStr">
        <is>
          <t>Short official cable from the MOT0110_0 to the powered USB hub. Right-angle Mini-B reduces bend space at the pelvis IMU; route and clamp it so hip/waist motion cannot pull the connector.</t>
        </is>
      </c>
      <c r="O198" s="7" t="inlineStr">
        <is>
          <t>Exact SKU CBL4011_0, USB-A to Mini-B, 280 mm, USD 3.50. If the final hub-to-pelvis distance exceeds 280 mm, substitute the official 600 mm 3036_1 rather than adding an unrestrained extension.</t>
        </is>
      </c>
      <c r="P198" s="8" t="inlineStr">
        <is>
          <t>Wiring</t>
        </is>
      </c>
      <c r="Q198" s="11" t="inlineStr">
        <is>
          <t>https://www.phidgets.com/?prodid=1248</t>
        </is>
      </c>
      <c r="R198" s="8" t="inlineStr">
        <is>
          <t>Phase 2</t>
        </is>
      </c>
      <c r="S198" s="12" t="n">
        <v>0.02</v>
      </c>
      <c r="T198" s="8" t="n"/>
    </row>
    <row r="199" hidden="1">
      <c r="A199" s="3" t="inlineStr">
        <is>
          <t>[ALT qty0] Xsens MTi-3-DK IMU AHRS development kit</t>
        </is>
      </c>
      <c r="B199" s="4" t="inlineStr">
        <is>
          <t>DigiKey / Mouser</t>
        </is>
      </c>
      <c r="C199" s="5" t="n">
        <v>480</v>
      </c>
      <c r="D199" s="6" t="n">
        <v>0.22</v>
      </c>
      <c r="E199" s="5">
        <f>C199*D199</f>
        <v/>
      </c>
      <c r="F199" s="4" t="n">
        <v>0</v>
      </c>
      <c r="G199" s="5">
        <f>(C199+E199)*F199</f>
        <v/>
      </c>
      <c r="H199" s="4" t="n"/>
      <c r="I199" s="4" t="n"/>
      <c r="J199" s="4" t="n"/>
      <c r="K199" s="4" t="n"/>
      <c r="L199" s="4" t="n"/>
      <c r="M199" s="4" t="n"/>
      <c r="N199" s="3" t="inlineStr">
        <is>
          <t>Higher-cost development alternative. The embedded MTi-3 module is excellent, but the DK is not selected because the Phidgets USB unit is cheaper, enclosed, mechanically documented and easier for universities and makers to reproduce.</t>
        </is>
      </c>
      <c r="O199" s="3" t="inlineStr">
        <is>
          <t>Reactivate only if MOT0110 bench testing shows unacceptable bias, vibration sensitivity or latency for the final gait.</t>
        </is>
      </c>
      <c r="P199" s="4" t="inlineStr">
        <is>
          <t>Sensors</t>
        </is>
      </c>
      <c r="Q199" s="4" t="inlineStr">
        <is>
          <t>https://www.digikey.com/en/products/detail/xsens-technologies-bv/MTI-3-DK/5325385</t>
        </is>
      </c>
      <c r="R199" s="4" t="inlineStr">
        <is>
          <t>Reference</t>
        </is>
      </c>
      <c r="S199" s="4" t="n"/>
      <c r="T199" s="4" t="n"/>
    </row>
    <row r="200" hidden="1">
      <c r="A200" s="3" t="inlineStr">
        <is>
          <t>[COMPACT THOR ALT qty0] Connect Tech AGX301 Gauntlet carrier for Jetson T5000</t>
        </is>
      </c>
      <c r="B200" s="4" t="inlineStr">
        <is>
          <t>Connect Tech</t>
        </is>
      </c>
      <c r="C200" s="5" t="n">
        <v>0</v>
      </c>
      <c r="D200" s="6" t="n">
        <v>0.22</v>
      </c>
      <c r="E200" s="5">
        <f>C200*D200</f>
        <v/>
      </c>
      <c r="F200" s="4" t="n">
        <v>0</v>
      </c>
      <c r="G200" s="5">
        <f>(C200+E200)*F200</f>
        <v/>
      </c>
      <c r="H200" s="4" t="n"/>
      <c r="I200" s="4" t="n"/>
      <c r="J200" s="4" t="n"/>
      <c r="K200" s="4" t="n"/>
      <c r="L200" s="4" t="n"/>
      <c r="M200" s="4" t="n"/>
      <c r="N200" s="3" t="inlineStr">
        <is>
          <t>Compact production-carrier alternative if the 243 mm developer kit cannot fit. Carrier board footprint 155 x 126 mm and supports T5000, USB 3.2, CAN 2.0b, serial, I2C and SPI.</t>
        </is>
      </c>
      <c r="O200" s="3" t="inlineStr">
        <is>
          <t>Do not activate until Connect Tech quotes a pre-integrated unit and supplies the complete module+carrier+thermal-solution envelope, mass, input-voltage range and cable set. A bare carrier is not a complete Thor computer and is less reproducible than the developer kit.</t>
        </is>
      </c>
      <c r="P200" s="4" t="inlineStr">
        <is>
          <t>Compute</t>
        </is>
      </c>
      <c r="Q200" s="4" t="inlineStr">
        <is>
          <t>https://connecttech.com/product/gauntlet-carrier-board-for-nvidia-jetson-thor/</t>
        </is>
      </c>
      <c r="R200" s="4" t="inlineStr">
        <is>
          <t>Reference</t>
        </is>
      </c>
      <c r="S200" s="4" t="n"/>
      <c r="T200" s="4" t="n"/>
    </row>
    <row r="201" ht="20" customHeight="1">
      <c r="A201" s="2" t="inlineStr">
        <is>
          <t>7 - DESIGN REFERENCES - qty 0, not purchases</t>
        </is>
      </c>
    </row>
    <row r="202" hidden="1">
      <c r="A202" s="3" t="inlineStr">
        <is>
          <t>[REF qty0] Unitree G1 mode_11 URDF ufficiale</t>
        </is>
      </c>
      <c r="B202" s="4" t="inlineStr">
        <is>
          <t>Unitree Robotics</t>
        </is>
      </c>
      <c r="C202" s="5" t="n">
        <v>0</v>
      </c>
      <c r="D202" s="6" t="n">
        <v>0.22</v>
      </c>
      <c r="E202" s="5">
        <f>C202*D202</f>
        <v/>
      </c>
      <c r="F202" s="4" t="n">
        <v>0</v>
      </c>
      <c r="G202" s="5">
        <f>(C202+E202)*F202</f>
        <v/>
      </c>
      <c r="H202" s="4" t="n"/>
      <c r="I202" s="4" t="n"/>
      <c r="J202" s="4" t="n"/>
      <c r="K202" s="4" t="n"/>
      <c r="L202" s="4" t="n"/>
      <c r="M202" s="4" t="n"/>
      <c r="N202" s="3" t="inlineStr">
        <is>
          <t>Baseline geometrica and limiti per axis del G1 29 DOF corrente.</t>
        </is>
      </c>
      <c r="O202" s="3" t="inlineStr">
        <is>
          <t>Usare origini giunti and mesh come reference. L'URDF descrive la cinematica virtuale, non espone il CAD interno del leveraggio ankle.</t>
        </is>
      </c>
      <c r="P202" s="4" t="inlineStr">
        <is>
          <t>Reference</t>
        </is>
      </c>
      <c r="Q202" s="4" t="inlineStr">
        <is>
          <t>https://github.com/unitreerobotics/unitree_ros/blob/master/robots/g1_description/g1_29dof_mode_11.urdf</t>
        </is>
      </c>
      <c r="R202" s="4" t="inlineStr">
        <is>
          <t>Reference</t>
        </is>
      </c>
      <c r="S202" s="4" t="n"/>
      <c r="T202" s="4" t="n"/>
    </row>
    <row r="203" hidden="1">
      <c r="A203" s="3" t="inlineStr">
        <is>
          <t>[REF qty0] Unitree G1 description README ufficiale</t>
        </is>
      </c>
      <c r="B203" s="4" t="inlineStr">
        <is>
          <t>Unitree Robotics</t>
        </is>
      </c>
      <c r="C203" s="5" t="n">
        <v>0</v>
      </c>
      <c r="D203" s="6" t="n">
        <v>0.22</v>
      </c>
      <c r="E203" s="5">
        <f>C203*D203</f>
        <v/>
      </c>
      <c r="F203" s="4" t="n">
        <v>0</v>
      </c>
      <c r="G203" s="5">
        <f>(C203+E203)*F203</f>
        <v/>
      </c>
      <c r="H203" s="4" t="n"/>
      <c r="I203" s="4" t="n"/>
      <c r="J203" s="4" t="n"/>
      <c r="K203" s="4" t="n"/>
      <c r="L203" s="4" t="n"/>
      <c r="M203" s="4" t="n"/>
      <c r="N203" s="3" t="inlineStr">
        <is>
          <t>Elenco modelli G1 and stato aggiornato/deprecato.</t>
        </is>
      </c>
      <c r="O203" s="3" t="inlineStr">
        <is>
          <t>mode_11 and la baseline 29 DOF non bloccata and aggiornata.</t>
        </is>
      </c>
      <c r="P203" s="4" t="inlineStr">
        <is>
          <t>Reference</t>
        </is>
      </c>
      <c r="Q203" s="4" t="inlineStr">
        <is>
          <t>https://github.com/unitreerobotics/unitree_ros/tree/master/robots/g1_description</t>
        </is>
      </c>
      <c r="R203" s="4" t="inlineStr">
        <is>
          <t>Reference</t>
        </is>
      </c>
      <c r="S203" s="4" t="n"/>
      <c r="T203" s="4" t="n"/>
    </row>
    <row r="204" hidden="1">
      <c r="A204" s="3" t="inlineStr">
        <is>
          <t>[REF qty0] Unitree G1-Comp pagina ufficiale - testa 2 DOF</t>
        </is>
      </c>
      <c r="B204" s="4" t="inlineStr">
        <is>
          <t>Unitree Robotics</t>
        </is>
      </c>
      <c r="C204" s="5" t="n">
        <v>0</v>
      </c>
      <c r="D204" s="6" t="n">
        <v>0.22</v>
      </c>
      <c r="E204" s="5">
        <f>C204*D204</f>
        <v/>
      </c>
      <c r="F204" s="4" t="n">
        <v>0</v>
      </c>
      <c r="G204" s="5">
        <f>(C204+E204)*F204</f>
        <v/>
      </c>
      <c r="H204" s="4" t="n"/>
      <c r="I204" s="4" t="n"/>
      <c r="J204" s="4" t="n"/>
      <c r="K204" s="4" t="n"/>
      <c r="L204" s="4" t="n"/>
      <c r="M204" s="4" t="n"/>
      <c r="N204" s="3" t="inlineStr">
        <is>
          <t>Reference ufficiale per aggiungere due motors neck.</t>
        </is>
      </c>
      <c r="O204" s="3" t="inlineStr">
        <is>
          <t>La pagina dichiara Head 2 degrees of freedom = 2, ma non pubblica la coppia dei due motors.</t>
        </is>
      </c>
      <c r="P204" s="4" t="inlineStr">
        <is>
          <t>Reference</t>
        </is>
      </c>
      <c r="Q204" s="4" t="inlineStr">
        <is>
          <t>https://www.unitree.com/robocup/</t>
        </is>
      </c>
      <c r="R204" s="4" t="inlineStr">
        <is>
          <t>Reference</t>
        </is>
      </c>
      <c r="S204" s="4" t="n"/>
      <c r="T204" s="4" t="n"/>
    </row>
    <row r="205" hidden="1">
      <c r="A205" s="3" t="inlineStr">
        <is>
          <t>[REF qty0] Unitree G1-EDU Waist Fastener manuale ufficiale</t>
        </is>
      </c>
      <c r="B205" s="4" t="inlineStr">
        <is>
          <t>Unitree Robotics</t>
        </is>
      </c>
      <c r="C205" s="5" t="n">
        <v>0</v>
      </c>
      <c r="D205" s="6" t="n">
        <v>0.22</v>
      </c>
      <c r="E205" s="5">
        <f>C205*D205</f>
        <v/>
      </c>
      <c r="F205" s="4" t="n">
        <v>0</v>
      </c>
      <c r="G205" s="5">
        <f>(C205+E205)*F205</f>
        <v/>
      </c>
      <c r="H205" s="4" t="n"/>
      <c r="I205" s="4" t="n"/>
      <c r="J205" s="4" t="n"/>
      <c r="K205" s="4" t="n"/>
      <c r="L205" s="4" t="n"/>
      <c r="M205" s="4" t="n"/>
      <c r="N205" s="3" t="inlineStr">
        <is>
          <t>Reference ufficiale per la waist opzionale G1 EDU sbloccabile and bloccabile.</t>
        </is>
      </c>
      <c r="O205" s="3" t="inlineStr">
        <is>
          <t>Conferma la waist articolata opzionale; il dettaglio interno del leveraggio va ricostruito in CAD.</t>
        </is>
      </c>
      <c r="P205" s="4" t="inlineStr">
        <is>
          <t>Reference</t>
        </is>
      </c>
      <c r="Q205" s="4" t="inlineStr">
        <is>
          <t>https://marketing.unitree.com/article/en/G1/Lumbar_fasteners.html</t>
        </is>
      </c>
      <c r="R205" s="4" t="inlineStr">
        <is>
          <t>Reference</t>
        </is>
      </c>
      <c r="S205" s="4" t="n"/>
      <c r="T205" s="4" t="n"/>
    </row>
    <row r="206" hidden="1">
      <c r="A206" s="3" t="inlineStr">
        <is>
          <t>[REF qty0] K-Scale K-Bot mechanical docs</t>
        </is>
      </c>
      <c r="B206" s="4" t="inlineStr">
        <is>
          <t>K-Scale</t>
        </is>
      </c>
      <c r="C206" s="5" t="n">
        <v>0</v>
      </c>
      <c r="D206" s="6" t="n">
        <v>0.22</v>
      </c>
      <c r="E206" s="5">
        <f>C206*D206</f>
        <v/>
      </c>
      <c r="F206" s="4" t="n">
        <v>0</v>
      </c>
      <c r="G206" s="5">
        <f>(C206+E206)*F206</f>
        <v/>
      </c>
      <c r="H206" s="4" t="n"/>
      <c r="I206" s="4" t="n"/>
      <c r="J206" s="4" t="n"/>
      <c r="K206" s="4" t="n"/>
      <c r="L206" s="4" t="n"/>
      <c r="M206" s="4" t="n"/>
      <c r="N206" s="3" t="inlineStr">
        <is>
          <t>Reference open hardware da tenere sotto osservazione.</t>
        </is>
      </c>
      <c r="O206" s="3" t="inlineStr">
        <is>
          <t>K-Bot usa solo RobStride ma ha 20 DOF and una ankle diretta a un axis: non copiare la sua ankle per la baseline G1.</t>
        </is>
      </c>
      <c r="P206" s="4" t="inlineStr">
        <is>
          <t>Reference</t>
        </is>
      </c>
      <c r="Q206" s="4" t="inlineStr">
        <is>
          <t>https://docs.kscale.dev/robots/k-bot/mechanical/</t>
        </is>
      </c>
      <c r="R206" s="4" t="inlineStr">
        <is>
          <t>Reference</t>
        </is>
      </c>
      <c r="S206" s="4" t="n"/>
      <c r="T206" s="4" t="n"/>
    </row>
    <row r="207" hidden="1">
      <c r="A207" s="3" t="inlineStr">
        <is>
          <t>[REF qty0] K-Scale K-Bot CAD pubblico Onshape</t>
        </is>
      </c>
      <c r="B207" s="4" t="inlineStr">
        <is>
          <t>K-Scale</t>
        </is>
      </c>
      <c r="C207" s="5" t="n">
        <v>0</v>
      </c>
      <c r="D207" s="6" t="n">
        <v>0.22</v>
      </c>
      <c r="E207" s="5">
        <f>C207*D207</f>
        <v/>
      </c>
      <c r="F207" s="4" t="n">
        <v>0</v>
      </c>
      <c r="G207" s="5">
        <f>(C207+E207)*F207</f>
        <v/>
      </c>
      <c r="H207" s="4" t="n"/>
      <c r="I207" s="4" t="n"/>
      <c r="J207" s="4" t="n"/>
      <c r="K207" s="4" t="n"/>
      <c r="L207" s="4" t="n"/>
      <c r="M207" s="4" t="n"/>
      <c r="N207" s="3" t="inlineStr">
        <is>
          <t>CAD pubblico per studiare packaging, wiring and producibilita.</t>
        </is>
      </c>
      <c r="O207" s="3" t="inlineStr"/>
      <c r="P207" s="4" t="inlineStr">
        <is>
          <t>Reference</t>
        </is>
      </c>
      <c r="Q207" s="4" t="inlineStr">
        <is>
          <t>https://cad.onshape.com/publications/e15cf8edefacbba3009917c0/</t>
        </is>
      </c>
      <c r="R207" s="4" t="inlineStr">
        <is>
          <t>Reference</t>
        </is>
      </c>
      <c r="S207" s="4" t="n"/>
      <c r="T207" s="4" t="n"/>
    </row>
    <row r="209">
      <c r="A209" s="14" t="inlineStr">
        <is>
          <t>TOTAL complete humanoid</t>
        </is>
      </c>
      <c r="G209" s="15">
        <f>SUM(G3:G207)</f>
        <v/>
      </c>
    </row>
    <row r="210">
      <c r="A210" s="14" t="inlineStr">
        <is>
          <t>Phase 1 - arm+hand teleop bench</t>
        </is>
      </c>
      <c r="G210" s="15">
        <f>SUMIF(R3:R207,"Phase 1",G3:G207)</f>
        <v/>
      </c>
    </row>
    <row r="211">
      <c r="A211" s="14" t="inlineStr">
        <is>
          <t xml:space="preserve">  of which NVIDIA Thor (ALREADY OWNED - counted at 0)</t>
        </is>
      </c>
      <c r="G211" s="15">
        <f>SUMIF(A3:A207,"NVIDIA Jetson AGX Thor Developer Kit",G3:G207)</f>
        <v/>
      </c>
    </row>
    <row r="212">
      <c r="A212" s="14" t="inlineStr">
        <is>
          <t>Phase 2 - legs and locomotion</t>
        </is>
      </c>
      <c r="G212" s="15">
        <f>SUMIF(R3:R207,"Phase 2",G3:G207)</f>
        <v/>
      </c>
    </row>
    <row r="213">
      <c r="A213" s="14" t="inlineStr">
        <is>
          <t>Phase 3 - completion: left arm, waist, neck, mobile</t>
        </is>
      </c>
      <c r="G213" s="15">
        <f>SUMIF(R3:R207,"Phase 3",G3:G207)</f>
        <v/>
      </c>
    </row>
    <row r="215">
      <c r="A215" s="14" t="inlineStr">
        <is>
          <t>PURCHASED ONBOARD MASS (NO PA-CF frame)</t>
        </is>
      </c>
      <c r="S215" s="16">
        <f>SUM(S3:S207)</f>
        <v/>
      </c>
    </row>
    <row r="216">
      <c r="A216" s="14" t="inlineStr">
        <is>
          <t xml:space="preserve">  of which battery</t>
        </is>
      </c>
      <c r="S216" s="16">
        <f>S126</f>
        <v/>
      </c>
    </row>
    <row r="218">
      <c r="A218" s="17" t="inlineStr">
        <is>
          <t>LEGEND: grey rows = alternatives or references with quantity 0; they do not count in totals and are hidden by default.</t>
        </is>
      </c>
    </row>
  </sheetData>
  <autoFilter ref="A1:T207">
    <filterColumn colId="5" hiddenButton="0" showButton="1">
      <customFilters>
        <customFilter val="0" operator="notEqual"/>
      </customFilters>
    </filterColumn>
  </autoFilter>
  <mergeCells count="9">
    <mergeCell ref="A188:T188"/>
    <mergeCell ref="A145:T145"/>
    <mergeCell ref="A201:T201"/>
    <mergeCell ref="A64:T64"/>
    <mergeCell ref="A59:T59"/>
    <mergeCell ref="A179:T179"/>
    <mergeCell ref="A125:T125"/>
    <mergeCell ref="A2:T2"/>
    <mergeCell ref="A84:T84"/>
  </mergeCells>
  <conditionalFormatting sqref="A3:T207">
    <cfRule type="expression" priority="1" dxfId="0">
      <formula>AND(ISNUMBER($F3),$F3=0)</formula>
    </cfRule>
  </conditionalFormatting>
  <hyperlinks>
    <hyperlink xmlns:r="http://schemas.openxmlformats.org/officeDocument/2006/relationships" ref="Q3" r:id="rId1"/>
    <hyperlink xmlns:r="http://schemas.openxmlformats.org/officeDocument/2006/relationships" ref="Q4" r:id="rId2"/>
    <hyperlink xmlns:r="http://schemas.openxmlformats.org/officeDocument/2006/relationships" ref="Q5" r:id="rId3"/>
    <hyperlink xmlns:r="http://schemas.openxmlformats.org/officeDocument/2006/relationships" ref="Q6" r:id="rId4"/>
    <hyperlink xmlns:r="http://schemas.openxmlformats.org/officeDocument/2006/relationships" ref="Q7" r:id="rId5"/>
    <hyperlink xmlns:r="http://schemas.openxmlformats.org/officeDocument/2006/relationships" ref="Q8" r:id="rId6"/>
    <hyperlink xmlns:r="http://schemas.openxmlformats.org/officeDocument/2006/relationships" ref="Q9" r:id="rId7"/>
    <hyperlink xmlns:r="http://schemas.openxmlformats.org/officeDocument/2006/relationships" ref="Q10" r:id="rId8"/>
    <hyperlink xmlns:r="http://schemas.openxmlformats.org/officeDocument/2006/relationships" ref="Q11" r:id="rId9"/>
    <hyperlink xmlns:r="http://schemas.openxmlformats.org/officeDocument/2006/relationships" ref="Q12" r:id="rId10"/>
    <hyperlink xmlns:r="http://schemas.openxmlformats.org/officeDocument/2006/relationships" ref="Q13" r:id="rId11"/>
    <hyperlink xmlns:r="http://schemas.openxmlformats.org/officeDocument/2006/relationships" ref="Q14" r:id="rId12"/>
    <hyperlink xmlns:r="http://schemas.openxmlformats.org/officeDocument/2006/relationships" ref="Q15" r:id="rId13"/>
    <hyperlink xmlns:r="http://schemas.openxmlformats.org/officeDocument/2006/relationships" ref="Q16" r:id="rId14"/>
    <hyperlink xmlns:r="http://schemas.openxmlformats.org/officeDocument/2006/relationships" ref="Q17" r:id="rId15"/>
    <hyperlink xmlns:r="http://schemas.openxmlformats.org/officeDocument/2006/relationships" ref="Q18" r:id="rId16"/>
    <hyperlink xmlns:r="http://schemas.openxmlformats.org/officeDocument/2006/relationships" ref="Q19" r:id="rId17"/>
    <hyperlink xmlns:r="http://schemas.openxmlformats.org/officeDocument/2006/relationships" ref="Q20" r:id="rId18"/>
    <hyperlink xmlns:r="http://schemas.openxmlformats.org/officeDocument/2006/relationships" ref="Q21" r:id="rId19"/>
    <hyperlink xmlns:r="http://schemas.openxmlformats.org/officeDocument/2006/relationships" ref="Q22" r:id="rId20"/>
    <hyperlink xmlns:r="http://schemas.openxmlformats.org/officeDocument/2006/relationships" ref="Q23" r:id="rId21"/>
    <hyperlink xmlns:r="http://schemas.openxmlformats.org/officeDocument/2006/relationships" ref="Q24" r:id="rId22"/>
    <hyperlink xmlns:r="http://schemas.openxmlformats.org/officeDocument/2006/relationships" ref="Q25" r:id="rId23"/>
    <hyperlink xmlns:r="http://schemas.openxmlformats.org/officeDocument/2006/relationships" ref="Q26" r:id="rId24"/>
    <hyperlink xmlns:r="http://schemas.openxmlformats.org/officeDocument/2006/relationships" ref="Q27" r:id="rId25"/>
    <hyperlink xmlns:r="http://schemas.openxmlformats.org/officeDocument/2006/relationships" ref="Q28" r:id="rId26"/>
    <hyperlink xmlns:r="http://schemas.openxmlformats.org/officeDocument/2006/relationships" ref="Q29" r:id="rId27"/>
    <hyperlink xmlns:r="http://schemas.openxmlformats.org/officeDocument/2006/relationships" ref="Q30" r:id="rId28"/>
    <hyperlink xmlns:r="http://schemas.openxmlformats.org/officeDocument/2006/relationships" ref="Q31" r:id="rId29"/>
    <hyperlink xmlns:r="http://schemas.openxmlformats.org/officeDocument/2006/relationships" ref="Q32" r:id="rId30"/>
    <hyperlink xmlns:r="http://schemas.openxmlformats.org/officeDocument/2006/relationships" ref="Q33" r:id="rId31"/>
    <hyperlink xmlns:r="http://schemas.openxmlformats.org/officeDocument/2006/relationships" ref="Q34" r:id="rId32"/>
    <hyperlink xmlns:r="http://schemas.openxmlformats.org/officeDocument/2006/relationships" ref="Q35" r:id="rId33"/>
    <hyperlink xmlns:r="http://schemas.openxmlformats.org/officeDocument/2006/relationships" ref="Q36" r:id="rId34"/>
    <hyperlink xmlns:r="http://schemas.openxmlformats.org/officeDocument/2006/relationships" ref="Q37" r:id="rId35"/>
    <hyperlink xmlns:r="http://schemas.openxmlformats.org/officeDocument/2006/relationships" ref="Q38" r:id="rId36"/>
    <hyperlink xmlns:r="http://schemas.openxmlformats.org/officeDocument/2006/relationships" ref="Q39" r:id="rId37"/>
    <hyperlink xmlns:r="http://schemas.openxmlformats.org/officeDocument/2006/relationships" ref="Q40" r:id="rId38"/>
    <hyperlink xmlns:r="http://schemas.openxmlformats.org/officeDocument/2006/relationships" ref="Q41" r:id="rId39"/>
    <hyperlink xmlns:r="http://schemas.openxmlformats.org/officeDocument/2006/relationships" ref="Q42" r:id="rId40"/>
    <hyperlink xmlns:r="http://schemas.openxmlformats.org/officeDocument/2006/relationships" ref="Q43" r:id="rId41"/>
    <hyperlink xmlns:r="http://schemas.openxmlformats.org/officeDocument/2006/relationships" ref="Q44" r:id="rId42"/>
    <hyperlink xmlns:r="http://schemas.openxmlformats.org/officeDocument/2006/relationships" ref="Q45" r:id="rId43"/>
    <hyperlink xmlns:r="http://schemas.openxmlformats.org/officeDocument/2006/relationships" ref="Q46" r:id="rId44"/>
    <hyperlink xmlns:r="http://schemas.openxmlformats.org/officeDocument/2006/relationships" ref="Q47" r:id="rId45"/>
    <hyperlink xmlns:r="http://schemas.openxmlformats.org/officeDocument/2006/relationships" ref="Q48" r:id="rId46"/>
    <hyperlink xmlns:r="http://schemas.openxmlformats.org/officeDocument/2006/relationships" ref="Q49" r:id="rId47"/>
    <hyperlink xmlns:r="http://schemas.openxmlformats.org/officeDocument/2006/relationships" ref="Q50" r:id="rId48"/>
    <hyperlink xmlns:r="http://schemas.openxmlformats.org/officeDocument/2006/relationships" ref="Q51" r:id="rId49"/>
    <hyperlink xmlns:r="http://schemas.openxmlformats.org/officeDocument/2006/relationships" ref="Q52" r:id="rId50"/>
    <hyperlink xmlns:r="http://schemas.openxmlformats.org/officeDocument/2006/relationships" ref="Q53" r:id="rId51"/>
    <hyperlink xmlns:r="http://schemas.openxmlformats.org/officeDocument/2006/relationships" ref="Q54" r:id="rId52"/>
    <hyperlink xmlns:r="http://schemas.openxmlformats.org/officeDocument/2006/relationships" ref="Q55" r:id="rId53"/>
    <hyperlink xmlns:r="http://schemas.openxmlformats.org/officeDocument/2006/relationships" ref="Q56" r:id="rId54"/>
    <hyperlink xmlns:r="http://schemas.openxmlformats.org/officeDocument/2006/relationships" ref="Q57" r:id="rId55"/>
    <hyperlink xmlns:r="http://schemas.openxmlformats.org/officeDocument/2006/relationships" ref="Q58" r:id="rId56"/>
    <hyperlink xmlns:r="http://schemas.openxmlformats.org/officeDocument/2006/relationships" ref="Q60" r:id="rId57"/>
    <hyperlink xmlns:r="http://schemas.openxmlformats.org/officeDocument/2006/relationships" ref="T60" r:id="rId58"/>
    <hyperlink xmlns:r="http://schemas.openxmlformats.org/officeDocument/2006/relationships" ref="Q61" r:id="rId59"/>
    <hyperlink xmlns:r="http://schemas.openxmlformats.org/officeDocument/2006/relationships" ref="T61" r:id="rId60"/>
    <hyperlink xmlns:r="http://schemas.openxmlformats.org/officeDocument/2006/relationships" ref="Q62" r:id="rId61"/>
    <hyperlink xmlns:r="http://schemas.openxmlformats.org/officeDocument/2006/relationships" ref="T62" r:id="rId62"/>
    <hyperlink xmlns:r="http://schemas.openxmlformats.org/officeDocument/2006/relationships" ref="Q63" r:id="rId63"/>
    <hyperlink xmlns:r="http://schemas.openxmlformats.org/officeDocument/2006/relationships" ref="T63" r:id="rId64"/>
    <hyperlink xmlns:r="http://schemas.openxmlformats.org/officeDocument/2006/relationships" ref="Q65" r:id="rId65"/>
    <hyperlink xmlns:r="http://schemas.openxmlformats.org/officeDocument/2006/relationships" ref="T65" r:id="rId66"/>
    <hyperlink xmlns:r="http://schemas.openxmlformats.org/officeDocument/2006/relationships" ref="Q66" r:id="rId67"/>
    <hyperlink xmlns:r="http://schemas.openxmlformats.org/officeDocument/2006/relationships" ref="T66" r:id="rId68"/>
    <hyperlink xmlns:r="http://schemas.openxmlformats.org/officeDocument/2006/relationships" ref="Q67" r:id="rId69"/>
    <hyperlink xmlns:r="http://schemas.openxmlformats.org/officeDocument/2006/relationships" ref="T67" r:id="rId70"/>
    <hyperlink xmlns:r="http://schemas.openxmlformats.org/officeDocument/2006/relationships" ref="Q68" r:id="rId71"/>
    <hyperlink xmlns:r="http://schemas.openxmlformats.org/officeDocument/2006/relationships" ref="T68" r:id="rId72"/>
    <hyperlink xmlns:r="http://schemas.openxmlformats.org/officeDocument/2006/relationships" ref="Q69" r:id="rId73"/>
    <hyperlink xmlns:r="http://schemas.openxmlformats.org/officeDocument/2006/relationships" ref="T69" r:id="rId74"/>
    <hyperlink xmlns:r="http://schemas.openxmlformats.org/officeDocument/2006/relationships" ref="Q70" r:id="rId75"/>
    <hyperlink xmlns:r="http://schemas.openxmlformats.org/officeDocument/2006/relationships" ref="T70" r:id="rId76"/>
    <hyperlink xmlns:r="http://schemas.openxmlformats.org/officeDocument/2006/relationships" ref="Q71" r:id="rId77"/>
    <hyperlink xmlns:r="http://schemas.openxmlformats.org/officeDocument/2006/relationships" ref="T71" r:id="rId78"/>
    <hyperlink xmlns:r="http://schemas.openxmlformats.org/officeDocument/2006/relationships" ref="Q72" r:id="rId79"/>
    <hyperlink xmlns:r="http://schemas.openxmlformats.org/officeDocument/2006/relationships" ref="T72" r:id="rId80"/>
    <hyperlink xmlns:r="http://schemas.openxmlformats.org/officeDocument/2006/relationships" ref="Q73" r:id="rId81"/>
    <hyperlink xmlns:r="http://schemas.openxmlformats.org/officeDocument/2006/relationships" ref="T73" r:id="rId82"/>
    <hyperlink xmlns:r="http://schemas.openxmlformats.org/officeDocument/2006/relationships" ref="Q74" r:id="rId83"/>
    <hyperlink xmlns:r="http://schemas.openxmlformats.org/officeDocument/2006/relationships" ref="T74" r:id="rId84"/>
    <hyperlink xmlns:r="http://schemas.openxmlformats.org/officeDocument/2006/relationships" ref="Q75" r:id="rId85"/>
    <hyperlink xmlns:r="http://schemas.openxmlformats.org/officeDocument/2006/relationships" ref="T75" r:id="rId86"/>
    <hyperlink xmlns:r="http://schemas.openxmlformats.org/officeDocument/2006/relationships" ref="Q76" r:id="rId87"/>
    <hyperlink xmlns:r="http://schemas.openxmlformats.org/officeDocument/2006/relationships" ref="T76" r:id="rId88"/>
    <hyperlink xmlns:r="http://schemas.openxmlformats.org/officeDocument/2006/relationships" ref="Q77" r:id="rId89"/>
    <hyperlink xmlns:r="http://schemas.openxmlformats.org/officeDocument/2006/relationships" ref="T77" r:id="rId90"/>
    <hyperlink xmlns:r="http://schemas.openxmlformats.org/officeDocument/2006/relationships" ref="Q78" r:id="rId91"/>
    <hyperlink xmlns:r="http://schemas.openxmlformats.org/officeDocument/2006/relationships" ref="T78" r:id="rId92"/>
    <hyperlink xmlns:r="http://schemas.openxmlformats.org/officeDocument/2006/relationships" ref="Q79" r:id="rId93"/>
    <hyperlink xmlns:r="http://schemas.openxmlformats.org/officeDocument/2006/relationships" ref="T79" r:id="rId94"/>
    <hyperlink xmlns:r="http://schemas.openxmlformats.org/officeDocument/2006/relationships" ref="Q80" r:id="rId95"/>
    <hyperlink xmlns:r="http://schemas.openxmlformats.org/officeDocument/2006/relationships" ref="T80" r:id="rId96"/>
    <hyperlink xmlns:r="http://schemas.openxmlformats.org/officeDocument/2006/relationships" ref="Q81" r:id="rId97"/>
    <hyperlink xmlns:r="http://schemas.openxmlformats.org/officeDocument/2006/relationships" ref="T81" r:id="rId98"/>
    <hyperlink xmlns:r="http://schemas.openxmlformats.org/officeDocument/2006/relationships" ref="Q82" r:id="rId99"/>
    <hyperlink xmlns:r="http://schemas.openxmlformats.org/officeDocument/2006/relationships" ref="T82" r:id="rId100"/>
    <hyperlink xmlns:r="http://schemas.openxmlformats.org/officeDocument/2006/relationships" ref="Q83" r:id="rId101"/>
    <hyperlink xmlns:r="http://schemas.openxmlformats.org/officeDocument/2006/relationships" ref="T83" r:id="rId102"/>
    <hyperlink xmlns:r="http://schemas.openxmlformats.org/officeDocument/2006/relationships" ref="Q85" r:id="rId103"/>
    <hyperlink xmlns:r="http://schemas.openxmlformats.org/officeDocument/2006/relationships" ref="Q86" r:id="rId104"/>
    <hyperlink xmlns:r="http://schemas.openxmlformats.org/officeDocument/2006/relationships" ref="Q87" r:id="rId105"/>
    <hyperlink xmlns:r="http://schemas.openxmlformats.org/officeDocument/2006/relationships" ref="Q88" r:id="rId106"/>
    <hyperlink xmlns:r="http://schemas.openxmlformats.org/officeDocument/2006/relationships" ref="Q89" r:id="rId107"/>
    <hyperlink xmlns:r="http://schemas.openxmlformats.org/officeDocument/2006/relationships" ref="Q90" r:id="rId108"/>
    <hyperlink xmlns:r="http://schemas.openxmlformats.org/officeDocument/2006/relationships" ref="Q91" r:id="rId109"/>
    <hyperlink xmlns:r="http://schemas.openxmlformats.org/officeDocument/2006/relationships" ref="Q92" r:id="rId110"/>
    <hyperlink xmlns:r="http://schemas.openxmlformats.org/officeDocument/2006/relationships" ref="Q93" r:id="rId111"/>
    <hyperlink xmlns:r="http://schemas.openxmlformats.org/officeDocument/2006/relationships" ref="Q94" r:id="rId112"/>
    <hyperlink xmlns:r="http://schemas.openxmlformats.org/officeDocument/2006/relationships" ref="Q95" r:id="rId113"/>
    <hyperlink xmlns:r="http://schemas.openxmlformats.org/officeDocument/2006/relationships" ref="Q96" r:id="rId114"/>
    <hyperlink xmlns:r="http://schemas.openxmlformats.org/officeDocument/2006/relationships" ref="Q97" r:id="rId115"/>
    <hyperlink xmlns:r="http://schemas.openxmlformats.org/officeDocument/2006/relationships" ref="Q98" r:id="rId116"/>
    <hyperlink xmlns:r="http://schemas.openxmlformats.org/officeDocument/2006/relationships" ref="Q99" r:id="rId117"/>
    <hyperlink xmlns:r="http://schemas.openxmlformats.org/officeDocument/2006/relationships" ref="Q100" r:id="rId118"/>
    <hyperlink xmlns:r="http://schemas.openxmlformats.org/officeDocument/2006/relationships" ref="Q101" r:id="rId119"/>
    <hyperlink xmlns:r="http://schemas.openxmlformats.org/officeDocument/2006/relationships" ref="Q102" r:id="rId120"/>
    <hyperlink xmlns:r="http://schemas.openxmlformats.org/officeDocument/2006/relationships" ref="Q103" r:id="rId121"/>
    <hyperlink xmlns:r="http://schemas.openxmlformats.org/officeDocument/2006/relationships" ref="Q104" r:id="rId122"/>
    <hyperlink xmlns:r="http://schemas.openxmlformats.org/officeDocument/2006/relationships" ref="Q105" r:id="rId123"/>
    <hyperlink xmlns:r="http://schemas.openxmlformats.org/officeDocument/2006/relationships" ref="Q106" r:id="rId124"/>
    <hyperlink xmlns:r="http://schemas.openxmlformats.org/officeDocument/2006/relationships" ref="Q107" r:id="rId125"/>
    <hyperlink xmlns:r="http://schemas.openxmlformats.org/officeDocument/2006/relationships" ref="Q108" r:id="rId126"/>
    <hyperlink xmlns:r="http://schemas.openxmlformats.org/officeDocument/2006/relationships" ref="Q109" r:id="rId127"/>
    <hyperlink xmlns:r="http://schemas.openxmlformats.org/officeDocument/2006/relationships" ref="Q110" r:id="rId128"/>
    <hyperlink xmlns:r="http://schemas.openxmlformats.org/officeDocument/2006/relationships" ref="Q111" r:id="rId129"/>
    <hyperlink xmlns:r="http://schemas.openxmlformats.org/officeDocument/2006/relationships" ref="Q112" r:id="rId130"/>
    <hyperlink xmlns:r="http://schemas.openxmlformats.org/officeDocument/2006/relationships" ref="Q113" r:id="rId131"/>
    <hyperlink xmlns:r="http://schemas.openxmlformats.org/officeDocument/2006/relationships" ref="Q114" r:id="rId132"/>
    <hyperlink xmlns:r="http://schemas.openxmlformats.org/officeDocument/2006/relationships" ref="Q115" r:id="rId133"/>
    <hyperlink xmlns:r="http://schemas.openxmlformats.org/officeDocument/2006/relationships" ref="Q116" r:id="rId134"/>
    <hyperlink xmlns:r="http://schemas.openxmlformats.org/officeDocument/2006/relationships" ref="Q117" r:id="rId135"/>
    <hyperlink xmlns:r="http://schemas.openxmlformats.org/officeDocument/2006/relationships" ref="Q118" r:id="rId136"/>
    <hyperlink xmlns:r="http://schemas.openxmlformats.org/officeDocument/2006/relationships" ref="Q119" r:id="rId137"/>
    <hyperlink xmlns:r="http://schemas.openxmlformats.org/officeDocument/2006/relationships" ref="Q120" r:id="rId138"/>
    <hyperlink xmlns:r="http://schemas.openxmlformats.org/officeDocument/2006/relationships" ref="Q121" r:id="rId139"/>
    <hyperlink xmlns:r="http://schemas.openxmlformats.org/officeDocument/2006/relationships" ref="Q122" r:id="rId140"/>
    <hyperlink xmlns:r="http://schemas.openxmlformats.org/officeDocument/2006/relationships" ref="Q123" r:id="rId141"/>
    <hyperlink xmlns:r="http://schemas.openxmlformats.org/officeDocument/2006/relationships" ref="Q124" r:id="rId142"/>
    <hyperlink xmlns:r="http://schemas.openxmlformats.org/officeDocument/2006/relationships" ref="Q126" r:id="rId143"/>
    <hyperlink xmlns:r="http://schemas.openxmlformats.org/officeDocument/2006/relationships" ref="T126" r:id="rId144"/>
    <hyperlink xmlns:r="http://schemas.openxmlformats.org/officeDocument/2006/relationships" ref="Q127" r:id="rId145"/>
    <hyperlink xmlns:r="http://schemas.openxmlformats.org/officeDocument/2006/relationships" ref="Q128" r:id="rId146"/>
    <hyperlink xmlns:r="http://schemas.openxmlformats.org/officeDocument/2006/relationships" ref="Q129" r:id="rId147"/>
    <hyperlink xmlns:r="http://schemas.openxmlformats.org/officeDocument/2006/relationships" ref="Q130" r:id="rId148"/>
    <hyperlink xmlns:r="http://schemas.openxmlformats.org/officeDocument/2006/relationships" ref="Q131" r:id="rId149"/>
    <hyperlink xmlns:r="http://schemas.openxmlformats.org/officeDocument/2006/relationships" ref="Q132" r:id="rId150"/>
    <hyperlink xmlns:r="http://schemas.openxmlformats.org/officeDocument/2006/relationships" ref="Q133" r:id="rId151"/>
    <hyperlink xmlns:r="http://schemas.openxmlformats.org/officeDocument/2006/relationships" ref="Q134" r:id="rId152"/>
    <hyperlink xmlns:r="http://schemas.openxmlformats.org/officeDocument/2006/relationships" ref="Q135" r:id="rId153"/>
    <hyperlink xmlns:r="http://schemas.openxmlformats.org/officeDocument/2006/relationships" ref="Q136" r:id="rId154"/>
    <hyperlink xmlns:r="http://schemas.openxmlformats.org/officeDocument/2006/relationships" ref="Q137" r:id="rId155"/>
    <hyperlink xmlns:r="http://schemas.openxmlformats.org/officeDocument/2006/relationships" ref="Q138" r:id="rId156"/>
    <hyperlink xmlns:r="http://schemas.openxmlformats.org/officeDocument/2006/relationships" ref="Q139" r:id="rId157"/>
    <hyperlink xmlns:r="http://schemas.openxmlformats.org/officeDocument/2006/relationships" ref="Q140" r:id="rId158"/>
    <hyperlink xmlns:r="http://schemas.openxmlformats.org/officeDocument/2006/relationships" ref="Q141" r:id="rId159"/>
    <hyperlink xmlns:r="http://schemas.openxmlformats.org/officeDocument/2006/relationships" ref="Q142" r:id="rId160"/>
    <hyperlink xmlns:r="http://schemas.openxmlformats.org/officeDocument/2006/relationships" ref="Q143" r:id="rId161"/>
    <hyperlink xmlns:r="http://schemas.openxmlformats.org/officeDocument/2006/relationships" ref="Q144" r:id="rId162"/>
    <hyperlink xmlns:r="http://schemas.openxmlformats.org/officeDocument/2006/relationships" ref="Q146" r:id="rId163"/>
    <hyperlink xmlns:r="http://schemas.openxmlformats.org/officeDocument/2006/relationships" ref="Q147" r:id="rId164"/>
    <hyperlink xmlns:r="http://schemas.openxmlformats.org/officeDocument/2006/relationships" ref="Q148" r:id="rId165"/>
    <hyperlink xmlns:r="http://schemas.openxmlformats.org/officeDocument/2006/relationships" ref="Q149" r:id="rId166"/>
    <hyperlink xmlns:r="http://schemas.openxmlformats.org/officeDocument/2006/relationships" ref="Q150" r:id="rId167"/>
    <hyperlink xmlns:r="http://schemas.openxmlformats.org/officeDocument/2006/relationships" ref="Q151" r:id="rId168"/>
    <hyperlink xmlns:r="http://schemas.openxmlformats.org/officeDocument/2006/relationships" ref="Q152" r:id="rId169"/>
    <hyperlink xmlns:r="http://schemas.openxmlformats.org/officeDocument/2006/relationships" ref="Q153" r:id="rId170"/>
    <hyperlink xmlns:r="http://schemas.openxmlformats.org/officeDocument/2006/relationships" ref="Q154" r:id="rId171"/>
    <hyperlink xmlns:r="http://schemas.openxmlformats.org/officeDocument/2006/relationships" ref="Q155" r:id="rId172"/>
    <hyperlink xmlns:r="http://schemas.openxmlformats.org/officeDocument/2006/relationships" ref="Q156" r:id="rId173"/>
    <hyperlink xmlns:r="http://schemas.openxmlformats.org/officeDocument/2006/relationships" ref="Q157" r:id="rId174"/>
    <hyperlink xmlns:r="http://schemas.openxmlformats.org/officeDocument/2006/relationships" ref="Q158" r:id="rId175"/>
    <hyperlink xmlns:r="http://schemas.openxmlformats.org/officeDocument/2006/relationships" ref="Q159" r:id="rId176"/>
    <hyperlink xmlns:r="http://schemas.openxmlformats.org/officeDocument/2006/relationships" ref="Q160" r:id="rId177"/>
    <hyperlink xmlns:r="http://schemas.openxmlformats.org/officeDocument/2006/relationships" ref="Q161" r:id="rId178"/>
    <hyperlink xmlns:r="http://schemas.openxmlformats.org/officeDocument/2006/relationships" ref="Q162" r:id="rId179"/>
    <hyperlink xmlns:r="http://schemas.openxmlformats.org/officeDocument/2006/relationships" ref="Q163" r:id="rId180"/>
    <hyperlink xmlns:r="http://schemas.openxmlformats.org/officeDocument/2006/relationships" ref="Q164" r:id="rId181"/>
    <hyperlink xmlns:r="http://schemas.openxmlformats.org/officeDocument/2006/relationships" ref="Q165" r:id="rId182"/>
    <hyperlink xmlns:r="http://schemas.openxmlformats.org/officeDocument/2006/relationships" ref="Q166" r:id="rId183"/>
    <hyperlink xmlns:r="http://schemas.openxmlformats.org/officeDocument/2006/relationships" ref="Q167" r:id="rId184"/>
    <hyperlink xmlns:r="http://schemas.openxmlformats.org/officeDocument/2006/relationships" ref="Q168" r:id="rId185"/>
    <hyperlink xmlns:r="http://schemas.openxmlformats.org/officeDocument/2006/relationships" ref="Q169" r:id="rId186"/>
    <hyperlink xmlns:r="http://schemas.openxmlformats.org/officeDocument/2006/relationships" ref="Q170" r:id="rId187"/>
    <hyperlink xmlns:r="http://schemas.openxmlformats.org/officeDocument/2006/relationships" ref="Q171" r:id="rId188"/>
    <hyperlink xmlns:r="http://schemas.openxmlformats.org/officeDocument/2006/relationships" ref="Q172" r:id="rId189"/>
    <hyperlink xmlns:r="http://schemas.openxmlformats.org/officeDocument/2006/relationships" ref="Q173" r:id="rId190"/>
    <hyperlink xmlns:r="http://schemas.openxmlformats.org/officeDocument/2006/relationships" ref="Q174" r:id="rId191"/>
    <hyperlink xmlns:r="http://schemas.openxmlformats.org/officeDocument/2006/relationships" ref="Q175" r:id="rId192"/>
    <hyperlink xmlns:r="http://schemas.openxmlformats.org/officeDocument/2006/relationships" ref="Q176" r:id="rId193"/>
    <hyperlink xmlns:r="http://schemas.openxmlformats.org/officeDocument/2006/relationships" ref="Q177" r:id="rId194"/>
    <hyperlink xmlns:r="http://schemas.openxmlformats.org/officeDocument/2006/relationships" ref="Q178" r:id="rId195"/>
    <hyperlink xmlns:r="http://schemas.openxmlformats.org/officeDocument/2006/relationships" ref="Q180" r:id="rId196"/>
    <hyperlink xmlns:r="http://schemas.openxmlformats.org/officeDocument/2006/relationships" ref="Q181" r:id="rId197"/>
    <hyperlink xmlns:r="http://schemas.openxmlformats.org/officeDocument/2006/relationships" ref="Q182" r:id="rId198"/>
    <hyperlink xmlns:r="http://schemas.openxmlformats.org/officeDocument/2006/relationships" ref="Q183" r:id="rId199"/>
    <hyperlink xmlns:r="http://schemas.openxmlformats.org/officeDocument/2006/relationships" ref="Q184" r:id="rId200"/>
    <hyperlink xmlns:r="http://schemas.openxmlformats.org/officeDocument/2006/relationships" ref="Q185" r:id="rId201"/>
    <hyperlink xmlns:r="http://schemas.openxmlformats.org/officeDocument/2006/relationships" ref="Q186" r:id="rId202"/>
    <hyperlink xmlns:r="http://schemas.openxmlformats.org/officeDocument/2006/relationships" ref="Q187" r:id="rId203"/>
    <hyperlink xmlns:r="http://schemas.openxmlformats.org/officeDocument/2006/relationships" ref="Q189" r:id="rId204"/>
    <hyperlink xmlns:r="http://schemas.openxmlformats.org/officeDocument/2006/relationships" ref="Q190" r:id="rId205"/>
    <hyperlink xmlns:r="http://schemas.openxmlformats.org/officeDocument/2006/relationships" ref="Q191" r:id="rId206"/>
    <hyperlink xmlns:r="http://schemas.openxmlformats.org/officeDocument/2006/relationships" ref="Q192" r:id="rId207"/>
    <hyperlink xmlns:r="http://schemas.openxmlformats.org/officeDocument/2006/relationships" ref="Q193" r:id="rId208"/>
    <hyperlink xmlns:r="http://schemas.openxmlformats.org/officeDocument/2006/relationships" ref="Q194" r:id="rId209"/>
    <hyperlink xmlns:r="http://schemas.openxmlformats.org/officeDocument/2006/relationships" ref="T194" r:id="rId210"/>
    <hyperlink xmlns:r="http://schemas.openxmlformats.org/officeDocument/2006/relationships" ref="Q195" r:id="rId211"/>
    <hyperlink xmlns:r="http://schemas.openxmlformats.org/officeDocument/2006/relationships" ref="Q196" r:id="rId212"/>
    <hyperlink xmlns:r="http://schemas.openxmlformats.org/officeDocument/2006/relationships" ref="Q197" r:id="rId213"/>
    <hyperlink xmlns:r="http://schemas.openxmlformats.org/officeDocument/2006/relationships" ref="T197" r:id="rId214"/>
    <hyperlink xmlns:r="http://schemas.openxmlformats.org/officeDocument/2006/relationships" ref="Q198" r:id="rId215"/>
    <hyperlink xmlns:r="http://schemas.openxmlformats.org/officeDocument/2006/relationships" ref="Q199" r:id="rId216"/>
    <hyperlink xmlns:r="http://schemas.openxmlformats.org/officeDocument/2006/relationships" ref="Q200" r:id="rId217"/>
    <hyperlink xmlns:r="http://schemas.openxmlformats.org/officeDocument/2006/relationships" ref="Q202" r:id="rId218"/>
    <hyperlink xmlns:r="http://schemas.openxmlformats.org/officeDocument/2006/relationships" ref="Q203" r:id="rId219"/>
    <hyperlink xmlns:r="http://schemas.openxmlformats.org/officeDocument/2006/relationships" ref="Q204" r:id="rId220"/>
    <hyperlink xmlns:r="http://schemas.openxmlformats.org/officeDocument/2006/relationships" ref="Q205" r:id="rId221"/>
    <hyperlink xmlns:r="http://schemas.openxmlformats.org/officeDocument/2006/relationships" ref="Q206" r:id="rId222"/>
    <hyperlink xmlns:r="http://schemas.openxmlformats.org/officeDocument/2006/relationships" ref="Q207" r:id="rId22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2026-07-29T15:24:37Z</dcterms:created>
  <dcterms:modified xmlns:dcterms="http://purl.org/dc/terms/" xmlns:xsi="http://www.w3.org/2001/XMLSchema-instance" xsi:type="dcterms:W3CDTF">2026-07-29T15:24:37Z</dcterms:modified>
</cp:coreProperties>
</file>